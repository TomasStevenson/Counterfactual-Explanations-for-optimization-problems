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7DA2B147-8A19-45E6-982E-90CAB0BCF8B4}" xr6:coauthVersionLast="47" xr6:coauthVersionMax="47" xr10:uidLastSave="{00000000-0000-0000-0000-000000000000}"/>
  <bookViews>
    <workbookView xWindow="2295" yWindow="2295" windowWidth="21600" windowHeight="11505" activeTab="3" xr2:uid="{00000000-000D-0000-FFFF-FFFF00000000}"/>
  </bookViews>
  <sheets>
    <sheet name="GenConv" sheetId="1" r:id="rId1"/>
    <sheet name="Afluente" sheetId="6" r:id="rId2"/>
    <sheet name="GenEol" sheetId="2" r:id="rId3"/>
    <sheet name="Lineas" sheetId="4" r:id="rId4"/>
    <sheet name="GenSol" sheetId="3" r:id="rId5"/>
    <sheet name="Demanda" sheetId="8" r:id="rId6"/>
    <sheet name="BESS" sheetId="10" r:id="rId7"/>
  </sheets>
  <definedNames>
    <definedName name="Afluentes">Afluente!$B$4:$B$27</definedName>
    <definedName name="Almacenamiento">BESS!$C$3</definedName>
    <definedName name="Barra_BESS">BESS!$A$3</definedName>
    <definedName name="Barra_destino">Lineas!$D$3:$D$22</definedName>
    <definedName name="Barra_gen_conv">GenConv!$D$3:$D$8</definedName>
    <definedName name="Barra_gen_eol">GenEol!$C$3:$C$5</definedName>
    <definedName name="Barra_gen_hid">GenConv!$D$13:$D$13</definedName>
    <definedName name="Barra_gen_sol">GenSol!$C$3</definedName>
    <definedName name="Barra_origen">Lineas!$C$3:$C$22</definedName>
    <definedName name="Capacidad_linea">Lineas!$F$3:$F$22</definedName>
    <definedName name="Costo_objetivo">#REF!</definedName>
    <definedName name="Costo_objetivocm">#REF!</definedName>
    <definedName name="Costo_objetivocSDDP">#REF!</definedName>
    <definedName name="Costo_objetivoSDDP1">#REF!</definedName>
    <definedName name="Costo_objetivoSDDPc">#REF!</definedName>
    <definedName name="Costos_variables_conv">GenConv!$E$3:$E$8</definedName>
    <definedName name="Curva_eol">GenEol!$G$3:$I$26</definedName>
    <definedName name="Curva_sol">GenSol!$G$3:$H$26</definedName>
    <definedName name="Demanda">Demanda!$B$3:$P$26</definedName>
    <definedName name="Eficiencia">BESS!$D$3</definedName>
    <definedName name="Eficiencia_hid">GenConv!$H$13:$H$13</definedName>
    <definedName name="marginales">#REF!</definedName>
    <definedName name="P_max_conv">GenConv!$F$3:$F$8</definedName>
    <definedName name="P_max_eol">GenEol!$D$3:$D$5</definedName>
    <definedName name="P_max_hid">GenConv!$F$13:$F$13</definedName>
    <definedName name="P_max_sol">GenSol!$D$3</definedName>
    <definedName name="PBESS_MW">BESS!$B$3</definedName>
    <definedName name="Reactancia">Lineas!$E$3:$E$22</definedName>
    <definedName name="Reserva_hid">GenConv!$G$13:$G$13</definedName>
    <definedName name="Tiempo_ejec">#REF!</definedName>
    <definedName name="Tiempo_ejecb">#REF!</definedName>
    <definedName name="Tiempo_ejeccm">#REF!</definedName>
    <definedName name="Tiempo_ejecSDDP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8" l="1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6" i="8"/>
  <c r="P4" i="8"/>
  <c r="P5" i="8"/>
  <c r="P7" i="8"/>
  <c r="P3" i="8"/>
  <c r="P27" i="8" l="1"/>
</calcChain>
</file>

<file path=xl/sharedStrings.xml><?xml version="1.0" encoding="utf-8"?>
<sst xmlns="http://schemas.openxmlformats.org/spreadsheetml/2006/main" count="46" uniqueCount="33">
  <si>
    <t>#</t>
  </si>
  <si>
    <t>Bus</t>
  </si>
  <si>
    <t>CV</t>
  </si>
  <si>
    <t>Pmax</t>
  </si>
  <si>
    <t>Tecnologia</t>
  </si>
  <si>
    <t>[USD/MWh]</t>
  </si>
  <si>
    <t>[MW]</t>
  </si>
  <si>
    <r>
      <rPr>
        <b/>
        <sz val="11"/>
        <color theme="1"/>
        <rFont val="Calibri"/>
        <family val="2"/>
        <scheme val="minor"/>
      </rPr>
      <t>Block</t>
    </r>
    <r>
      <rPr>
        <sz val="11"/>
        <color theme="1"/>
        <rFont val="Calibri"/>
        <family val="2"/>
        <scheme val="minor"/>
      </rPr>
      <t>/</t>
    </r>
    <r>
      <rPr>
        <b/>
        <sz val="11"/>
        <color rgb="FF0000FF"/>
        <rFont val="Calibri"/>
        <family val="2"/>
        <scheme val="minor"/>
      </rPr>
      <t>PrEol</t>
    </r>
  </si>
  <si>
    <r>
      <rPr>
        <b/>
        <sz val="11"/>
        <color theme="1"/>
        <rFont val="Calibri"/>
        <family val="2"/>
        <scheme val="minor"/>
      </rPr>
      <t>Block</t>
    </r>
    <r>
      <rPr>
        <sz val="11"/>
        <color theme="1"/>
        <rFont val="Calibri"/>
        <family val="2"/>
        <scheme val="minor"/>
      </rPr>
      <t>/</t>
    </r>
    <r>
      <rPr>
        <b/>
        <sz val="11"/>
        <color rgb="FF0000FF"/>
        <rFont val="Calibri"/>
        <family val="2"/>
        <scheme val="minor"/>
      </rPr>
      <t>PrSol</t>
    </r>
  </si>
  <si>
    <t xml:space="preserve">From </t>
  </si>
  <si>
    <t>To</t>
  </si>
  <si>
    <t>xl</t>
  </si>
  <si>
    <t>Fmax</t>
  </si>
  <si>
    <r>
      <rPr>
        <b/>
        <sz val="11"/>
        <color theme="1"/>
        <rFont val="Calibri"/>
        <family val="2"/>
        <scheme val="minor"/>
      </rPr>
      <t>Block</t>
    </r>
    <r>
      <rPr>
        <sz val="11"/>
        <color theme="1"/>
        <rFont val="Calibri"/>
        <family val="2"/>
        <scheme val="minor"/>
      </rPr>
      <t>/</t>
    </r>
    <r>
      <rPr>
        <b/>
        <sz val="11"/>
        <color rgb="FF0000FF"/>
        <rFont val="Calibri"/>
        <family val="2"/>
        <scheme val="minor"/>
      </rPr>
      <t>Buses</t>
    </r>
  </si>
  <si>
    <t>Total</t>
  </si>
  <si>
    <t>Carbon</t>
  </si>
  <si>
    <t>Gas</t>
  </si>
  <si>
    <t>Diesel</t>
  </si>
  <si>
    <t>Hidro</t>
  </si>
  <si>
    <t>-</t>
  </si>
  <si>
    <t>S1</t>
  </si>
  <si>
    <t>Hidro 1</t>
  </si>
  <si>
    <t>Hora</t>
  </si>
  <si>
    <t>Volumen inicial [Mlitros]</t>
  </si>
  <si>
    <t>Eficiencia [MWh/MLitros]</t>
  </si>
  <si>
    <t>Afluente [MLitros/h]</t>
  </si>
  <si>
    <t>Bajo</t>
  </si>
  <si>
    <t>Medio</t>
  </si>
  <si>
    <t>Alto</t>
  </si>
  <si>
    <t>PBESS MW</t>
  </si>
  <si>
    <t>Almacenamiento [h]</t>
  </si>
  <si>
    <t>Eficiencia</t>
  </si>
  <si>
    <t>Barra_BESS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</si>
</sst>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9C65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4" borderId="4" applyNumberFormat="0" applyAlignment="0" applyProtection="0"/>
    <xf numFmtId="0" fontId="8" fillId="5" borderId="5" applyNumberFormat="0" applyAlignment="0" applyProtection="0"/>
    <xf numFmtId="0" fontId="9" fillId="5" borderId="4" applyNumberFormat="0" applyAlignment="0" applyProtection="0"/>
    <xf numFmtId="0" fontId="10" fillId="0" borderId="6" applyNumberFormat="0" applyFill="0" applyAlignment="0" applyProtection="0"/>
    <xf numFmtId="0" fontId="11" fillId="6" borderId="7" applyNumberFormat="0" applyAlignment="0" applyProtection="0"/>
    <xf numFmtId="0" fontId="12" fillId="0" borderId="0" applyNumberFormat="0" applyFill="0" applyBorder="0" applyAlignment="0" applyProtection="0"/>
    <xf numFmtId="0" fontId="1" fillId="7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5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5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5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5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5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0" fontId="19" fillId="3" borderId="0" applyNumberFormat="0" applyBorder="0" applyAlignment="0" applyProtection="0"/>
  </cellStyleXfs>
  <cellXfs count="33">
    <xf numFmtId="0" fontId="0" fillId="0" borderId="0" xfId="0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4" fillId="0" borderId="0" xfId="0" applyFont="1"/>
    <xf numFmtId="0" fontId="1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4" fillId="0" borderId="0" xfId="0" applyFont="1" applyAlignment="1">
      <alignment horizontal="center"/>
    </xf>
    <xf numFmtId="1" fontId="0" fillId="0" borderId="0" xfId="0" applyNumberFormat="1" applyAlignment="1">
      <alignment horizontal="center" vertical="center"/>
    </xf>
    <xf numFmtId="0" fontId="20" fillId="0" borderId="0" xfId="0" applyFont="1"/>
    <xf numFmtId="0" fontId="20" fillId="0" borderId="0" xfId="0" applyFont="1" applyAlignment="1">
      <alignment horizontal="center" vertical="center"/>
    </xf>
    <xf numFmtId="1" fontId="20" fillId="0" borderId="0" xfId="0" applyNumberFormat="1" applyFont="1" applyAlignment="1">
      <alignment horizontal="center"/>
    </xf>
    <xf numFmtId="0" fontId="14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2" fontId="0" fillId="0" borderId="0" xfId="0" applyNumberFormat="1" applyAlignment="1">
      <alignment vertical="center"/>
    </xf>
    <xf numFmtId="0" fontId="14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/>
    </xf>
    <xf numFmtId="0" fontId="22" fillId="0" borderId="0" xfId="0" applyFont="1" applyAlignment="1">
      <alignment horizontal="right" wrapText="1"/>
    </xf>
    <xf numFmtId="2" fontId="22" fillId="0" borderId="0" xfId="0" applyNumberFormat="1" applyFont="1"/>
    <xf numFmtId="164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/>
    </xf>
    <xf numFmtId="165" fontId="0" fillId="0" borderId="0" xfId="0" applyNumberFormat="1"/>
    <xf numFmtId="2" fontId="0" fillId="0" borderId="0" xfId="0" applyNumberFormat="1"/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</cellXfs>
  <cellStyles count="41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Énfasis1 2" xfId="34" xr:uid="{C9CCE7F0-6A16-4D5C-BE64-9C946CB04658}"/>
    <cellStyle name="60% - Énfasis2 2" xfId="35" xr:uid="{928A3950-2F59-4298-87B8-93A5526BB267}"/>
    <cellStyle name="60% - Énfasis3 2" xfId="36" xr:uid="{A40211E1-49C2-41D0-B69E-59C9A3D37989}"/>
    <cellStyle name="60% - Énfasis4 2" xfId="37" xr:uid="{B72B1282-EFCD-444E-8C00-DA7EFB66A48B}"/>
    <cellStyle name="60% - Énfasis5 2" xfId="38" xr:uid="{6FDCC54E-BD49-480F-BCF0-801229BD6AFA}"/>
    <cellStyle name="60% - Énfasis6 2" xfId="39" xr:uid="{EADCD4D1-A5AD-4EE1-A812-5D5029169A24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7" builtinId="20" customBuiltin="1"/>
    <cellStyle name="Linked Cell" xfId="10" builtinId="24" customBuiltin="1"/>
    <cellStyle name="Neutral 2" xfId="40" xr:uid="{E5946592-CACB-4AD9-92CE-63BC1153D91D}"/>
    <cellStyle name="Normal" xfId="0" builtinId="0"/>
    <cellStyle name="Note" xfId="13" builtinId="10" customBuiltin="1"/>
    <cellStyle name="Output" xfId="8" builtinId="21" customBuiltin="1"/>
    <cellStyle name="Title" xfId="1" builtinId="15" customBuiltin="1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1"/>
  <sheetViews>
    <sheetView workbookViewId="0">
      <selection activeCell="F9" sqref="F9"/>
    </sheetView>
  </sheetViews>
  <sheetFormatPr defaultColWidth="8.85546875" defaultRowHeight="15" x14ac:dyDescent="0.25"/>
  <cols>
    <col min="1" max="2" width="2.85546875" customWidth="1"/>
    <col min="3" max="3" width="10.85546875" style="10" bestFit="1" customWidth="1"/>
    <col min="4" max="4" width="6.42578125" style="10" customWidth="1"/>
    <col min="5" max="5" width="11.140625" style="10" customWidth="1"/>
    <col min="6" max="6" width="12.42578125" style="10" customWidth="1"/>
    <col min="7" max="7" width="24.140625" style="10" customWidth="1"/>
    <col min="8" max="8" width="25.140625" customWidth="1"/>
    <col min="9" max="9" width="24.140625" customWidth="1"/>
  </cols>
  <sheetData>
    <row r="1" spans="2:8" x14ac:dyDescent="0.25">
      <c r="E1" s="4" t="s">
        <v>5</v>
      </c>
      <c r="F1" s="4" t="s">
        <v>6</v>
      </c>
      <c r="G1" s="4"/>
      <c r="H1" s="2"/>
    </row>
    <row r="2" spans="2:8" x14ac:dyDescent="0.25">
      <c r="B2" s="1"/>
      <c r="C2" s="1" t="s">
        <v>4</v>
      </c>
      <c r="D2" s="1" t="s">
        <v>1</v>
      </c>
      <c r="E2" s="1" t="s">
        <v>2</v>
      </c>
      <c r="F2" s="1" t="s">
        <v>3</v>
      </c>
      <c r="G2" s="1"/>
    </row>
    <row r="3" spans="2:8" x14ac:dyDescent="0.25">
      <c r="B3" s="3">
        <v>1</v>
      </c>
      <c r="C3" s="10" t="s">
        <v>15</v>
      </c>
      <c r="D3" s="10">
        <v>1</v>
      </c>
      <c r="E3" s="10">
        <v>35</v>
      </c>
      <c r="F3" s="10">
        <v>100</v>
      </c>
      <c r="H3" s="15"/>
    </row>
    <row r="4" spans="2:8" x14ac:dyDescent="0.25">
      <c r="B4" s="3">
        <v>2</v>
      </c>
      <c r="C4" s="10" t="s">
        <v>16</v>
      </c>
      <c r="D4" s="10">
        <v>2</v>
      </c>
      <c r="E4" s="10">
        <v>42</v>
      </c>
      <c r="F4" s="10">
        <v>65</v>
      </c>
      <c r="H4" s="15"/>
    </row>
    <row r="5" spans="2:8" x14ac:dyDescent="0.25">
      <c r="B5" s="3">
        <v>3</v>
      </c>
      <c r="C5" s="10" t="s">
        <v>16</v>
      </c>
      <c r="D5" s="10">
        <v>3</v>
      </c>
      <c r="E5" s="10">
        <v>45</v>
      </c>
      <c r="F5" s="10">
        <v>70</v>
      </c>
      <c r="H5" s="15"/>
    </row>
    <row r="6" spans="2:8" x14ac:dyDescent="0.25">
      <c r="B6" s="3">
        <v>4</v>
      </c>
      <c r="C6" s="10" t="s">
        <v>17</v>
      </c>
      <c r="D6" s="10">
        <v>6</v>
      </c>
      <c r="E6" s="10">
        <v>80</v>
      </c>
      <c r="F6" s="10">
        <v>55</v>
      </c>
      <c r="H6" s="15"/>
    </row>
    <row r="7" spans="2:8" x14ac:dyDescent="0.25">
      <c r="B7" s="3">
        <v>5</v>
      </c>
      <c r="C7" s="10" t="s">
        <v>17</v>
      </c>
      <c r="D7" s="10">
        <v>8</v>
      </c>
      <c r="E7" s="10">
        <v>85</v>
      </c>
      <c r="F7" s="10">
        <v>60</v>
      </c>
      <c r="H7" s="15"/>
    </row>
    <row r="8" spans="2:8" x14ac:dyDescent="0.25">
      <c r="B8" s="3">
        <v>6</v>
      </c>
      <c r="C8" s="10" t="s">
        <v>15</v>
      </c>
      <c r="D8" s="10">
        <v>9</v>
      </c>
      <c r="E8" s="10">
        <v>40</v>
      </c>
      <c r="F8" s="10">
        <v>60</v>
      </c>
      <c r="H8" s="14"/>
    </row>
    <row r="10" spans="2:8" x14ac:dyDescent="0.25">
      <c r="H10" s="14"/>
    </row>
    <row r="11" spans="2:8" x14ac:dyDescent="0.25">
      <c r="H11" s="17"/>
    </row>
    <row r="12" spans="2:8" x14ac:dyDescent="0.25">
      <c r="F12" s="1" t="s">
        <v>3</v>
      </c>
      <c r="G12" s="17" t="s">
        <v>23</v>
      </c>
      <c r="H12" s="3" t="s">
        <v>24</v>
      </c>
    </row>
    <row r="13" spans="2:8" x14ac:dyDescent="0.25">
      <c r="B13" s="3">
        <v>7</v>
      </c>
      <c r="C13" s="10" t="s">
        <v>18</v>
      </c>
      <c r="D13" s="10">
        <v>7</v>
      </c>
      <c r="E13" s="10" t="s">
        <v>19</v>
      </c>
      <c r="F13" s="10">
        <v>120</v>
      </c>
      <c r="G13" s="10">
        <v>40</v>
      </c>
      <c r="H13" s="10">
        <v>1.2</v>
      </c>
    </row>
    <row r="15" spans="2:8" x14ac:dyDescent="0.25">
      <c r="G15" s="15"/>
    </row>
    <row r="16" spans="2:8" ht="18.75" x14ac:dyDescent="0.25">
      <c r="E16" s="18"/>
      <c r="F16" s="18"/>
      <c r="G16" s="18"/>
      <c r="H16" s="18"/>
    </row>
    <row r="17" spans="4:9" x14ac:dyDescent="0.25">
      <c r="D17" s="5"/>
      <c r="E17" s="17"/>
      <c r="F17" s="17"/>
      <c r="G17" s="17"/>
      <c r="H17" s="17"/>
    </row>
    <row r="18" spans="4:9" x14ac:dyDescent="0.25">
      <c r="D18" s="5"/>
      <c r="H18" s="10"/>
      <c r="I18" s="10"/>
    </row>
    <row r="19" spans="4:9" x14ac:dyDescent="0.25">
      <c r="D19" s="5"/>
      <c r="H19" s="10"/>
      <c r="I19" s="10"/>
    </row>
    <row r="20" spans="4:9" x14ac:dyDescent="0.25">
      <c r="D20" s="5"/>
      <c r="H20" s="10"/>
      <c r="I20" s="10"/>
    </row>
    <row r="21" spans="4:9" x14ac:dyDescent="0.25">
      <c r="D21" s="5"/>
      <c r="H21" s="10"/>
      <c r="I21" s="10"/>
    </row>
    <row r="22" spans="4:9" x14ac:dyDescent="0.25">
      <c r="D22" s="5"/>
      <c r="H22" s="10"/>
      <c r="I22" s="10"/>
    </row>
    <row r="23" spans="4:9" x14ac:dyDescent="0.25">
      <c r="D23" s="5"/>
      <c r="H23" s="10"/>
      <c r="I23" s="10"/>
    </row>
    <row r="24" spans="4:9" x14ac:dyDescent="0.25">
      <c r="D24" s="5"/>
      <c r="H24" s="10"/>
      <c r="I24" s="10"/>
    </row>
    <row r="25" spans="4:9" x14ac:dyDescent="0.25">
      <c r="D25" s="5"/>
      <c r="H25" s="10"/>
      <c r="I25" s="10"/>
    </row>
    <row r="26" spans="4:9" x14ac:dyDescent="0.25">
      <c r="D26" s="5"/>
      <c r="H26" s="10"/>
      <c r="I26" s="10"/>
    </row>
    <row r="27" spans="4:9" x14ac:dyDescent="0.25">
      <c r="D27" s="5"/>
      <c r="H27" s="10"/>
      <c r="I27" s="10"/>
    </row>
    <row r="28" spans="4:9" x14ac:dyDescent="0.25">
      <c r="D28" s="5"/>
      <c r="H28" s="10"/>
      <c r="I28" s="10"/>
    </row>
    <row r="29" spans="4:9" x14ac:dyDescent="0.25">
      <c r="D29" s="5"/>
      <c r="H29" s="10"/>
      <c r="I29" s="10"/>
    </row>
    <row r="30" spans="4:9" x14ac:dyDescent="0.25">
      <c r="D30" s="5"/>
      <c r="H30" s="10"/>
      <c r="I30" s="10"/>
    </row>
    <row r="31" spans="4:9" x14ac:dyDescent="0.25">
      <c r="D31" s="5"/>
      <c r="H31" s="10"/>
      <c r="I31" s="10"/>
    </row>
    <row r="32" spans="4:9" x14ac:dyDescent="0.25">
      <c r="D32" s="5"/>
      <c r="H32" s="10"/>
      <c r="I32" s="10"/>
    </row>
    <row r="33" spans="4:9" x14ac:dyDescent="0.25">
      <c r="D33" s="5"/>
      <c r="H33" s="10"/>
      <c r="I33" s="10"/>
    </row>
    <row r="34" spans="4:9" x14ac:dyDescent="0.25">
      <c r="D34" s="5"/>
      <c r="H34" s="10"/>
      <c r="I34" s="10"/>
    </row>
    <row r="35" spans="4:9" x14ac:dyDescent="0.25">
      <c r="D35" s="5"/>
      <c r="H35" s="10"/>
      <c r="I35" s="10"/>
    </row>
    <row r="36" spans="4:9" x14ac:dyDescent="0.25">
      <c r="D36" s="5"/>
      <c r="H36" s="10"/>
      <c r="I36" s="10"/>
    </row>
    <row r="37" spans="4:9" x14ac:dyDescent="0.25">
      <c r="D37" s="5"/>
      <c r="H37" s="10"/>
      <c r="I37" s="10"/>
    </row>
    <row r="38" spans="4:9" x14ac:dyDescent="0.25">
      <c r="D38" s="5"/>
      <c r="H38" s="10"/>
      <c r="I38" s="10"/>
    </row>
    <row r="39" spans="4:9" x14ac:dyDescent="0.25">
      <c r="D39" s="5"/>
      <c r="H39" s="10"/>
      <c r="I39" s="10"/>
    </row>
    <row r="40" spans="4:9" x14ac:dyDescent="0.25">
      <c r="D40" s="5"/>
      <c r="H40" s="10"/>
      <c r="I40" s="10"/>
    </row>
    <row r="41" spans="4:9" x14ac:dyDescent="0.25">
      <c r="D41" s="5"/>
      <c r="H41" s="10"/>
      <c r="I41" s="10"/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A2350-9E70-4E43-AA96-421025EB23DB}">
  <dimension ref="A1:P28"/>
  <sheetViews>
    <sheetView workbookViewId="0">
      <selection activeCell="E25" sqref="E25"/>
    </sheetView>
  </sheetViews>
  <sheetFormatPr defaultColWidth="11.42578125" defaultRowHeight="15" x14ac:dyDescent="0.25"/>
  <cols>
    <col min="2" max="2" width="12.5703125" bestFit="1" customWidth="1"/>
  </cols>
  <sheetData>
    <row r="1" spans="1:16" ht="18.75" x14ac:dyDescent="0.25">
      <c r="A1" s="31" t="s">
        <v>25</v>
      </c>
      <c r="B1" s="31"/>
      <c r="C1" s="31"/>
      <c r="D1" s="18"/>
      <c r="F1" s="10"/>
      <c r="G1" s="10"/>
      <c r="H1" s="10"/>
    </row>
    <row r="2" spans="1:16" x14ac:dyDescent="0.25">
      <c r="A2" s="30" t="s">
        <v>22</v>
      </c>
      <c r="B2" s="21" t="s">
        <v>21</v>
      </c>
      <c r="C2" s="29"/>
      <c r="D2" s="29"/>
      <c r="E2" s="29"/>
      <c r="J2" s="29"/>
      <c r="K2" s="29"/>
      <c r="L2" s="29"/>
      <c r="M2" s="29"/>
      <c r="N2" s="29"/>
      <c r="O2" s="29"/>
      <c r="P2" s="29"/>
    </row>
    <row r="3" spans="1:16" x14ac:dyDescent="0.25">
      <c r="A3" s="30"/>
      <c r="B3" s="22" t="s">
        <v>20</v>
      </c>
      <c r="C3" s="3"/>
      <c r="D3" s="3"/>
      <c r="E3" s="3"/>
      <c r="J3" s="29"/>
      <c r="K3" s="3"/>
      <c r="L3" s="3"/>
      <c r="M3" s="3"/>
      <c r="N3" s="3"/>
      <c r="O3" s="3"/>
      <c r="P3" s="3"/>
    </row>
    <row r="4" spans="1:16" x14ac:dyDescent="0.25">
      <c r="A4" s="21">
        <v>1</v>
      </c>
      <c r="B4" s="25">
        <v>0.56275303643724706</v>
      </c>
      <c r="C4" s="10"/>
      <c r="D4" s="10"/>
      <c r="E4" s="10"/>
      <c r="F4" s="10"/>
      <c r="G4" s="10"/>
      <c r="J4" s="5"/>
      <c r="K4" s="10"/>
      <c r="L4" s="10"/>
      <c r="M4" s="10"/>
      <c r="N4" s="10"/>
      <c r="O4" s="10"/>
      <c r="P4" s="10"/>
    </row>
    <row r="5" spans="1:16" x14ac:dyDescent="0.25">
      <c r="A5" s="21">
        <v>2</v>
      </c>
      <c r="B5" s="25">
        <v>0.47823886639676111</v>
      </c>
      <c r="C5" s="10"/>
      <c r="D5" s="10"/>
      <c r="E5" s="10"/>
      <c r="F5" s="10"/>
      <c r="G5" s="10"/>
      <c r="J5" s="5"/>
      <c r="K5" s="10"/>
      <c r="L5" s="10"/>
      <c r="M5" s="10"/>
      <c r="N5" s="10"/>
      <c r="O5" s="10"/>
      <c r="P5" s="10"/>
    </row>
    <row r="6" spans="1:16" x14ac:dyDescent="0.25">
      <c r="A6" s="21">
        <v>3</v>
      </c>
      <c r="B6" s="25">
        <v>0.77935222672064763</v>
      </c>
      <c r="C6" s="10"/>
      <c r="D6" s="10"/>
      <c r="E6" s="10"/>
      <c r="F6" s="10"/>
      <c r="G6" s="10"/>
      <c r="J6" s="5"/>
      <c r="K6" s="10"/>
      <c r="L6" s="10"/>
      <c r="M6" s="10"/>
      <c r="N6" s="10"/>
      <c r="O6" s="10"/>
      <c r="P6" s="10"/>
    </row>
    <row r="7" spans="1:16" x14ac:dyDescent="0.25">
      <c r="A7" s="21">
        <v>4</v>
      </c>
      <c r="B7" s="25">
        <v>1</v>
      </c>
      <c r="C7" s="10"/>
      <c r="D7" s="10"/>
      <c r="E7" s="10"/>
      <c r="F7" s="10"/>
      <c r="G7" s="10"/>
      <c r="J7" s="5"/>
      <c r="K7" s="10"/>
      <c r="L7" s="10"/>
      <c r="M7" s="10"/>
      <c r="N7" s="10"/>
      <c r="O7" s="10"/>
      <c r="P7" s="10"/>
    </row>
    <row r="8" spans="1:16" x14ac:dyDescent="0.25">
      <c r="A8" s="21">
        <v>5</v>
      </c>
      <c r="B8" s="25">
        <v>0.9919028340080972</v>
      </c>
      <c r="C8" s="10"/>
      <c r="D8" s="10"/>
      <c r="E8" s="10"/>
      <c r="F8" s="10"/>
      <c r="G8" s="10"/>
      <c r="J8" s="5"/>
      <c r="K8" s="10"/>
      <c r="L8" s="10"/>
      <c r="M8" s="10"/>
      <c r="N8" s="10"/>
      <c r="O8" s="10"/>
      <c r="P8" s="10"/>
    </row>
    <row r="9" spans="1:16" x14ac:dyDescent="0.25">
      <c r="A9" s="21">
        <v>6</v>
      </c>
      <c r="B9" s="26">
        <v>0.59456333140543671</v>
      </c>
      <c r="C9" s="10"/>
      <c r="D9" s="15"/>
      <c r="E9" s="10"/>
      <c r="F9" s="10"/>
      <c r="G9" s="10"/>
      <c r="J9" s="5"/>
      <c r="K9" s="10"/>
      <c r="L9" s="10"/>
      <c r="M9" s="10"/>
      <c r="N9" s="10"/>
      <c r="O9" s="10"/>
      <c r="P9" s="10"/>
    </row>
    <row r="10" spans="1:16" x14ac:dyDescent="0.25">
      <c r="A10" s="21">
        <v>7</v>
      </c>
      <c r="B10" s="26">
        <v>0.58993637941006372</v>
      </c>
      <c r="C10" s="10"/>
      <c r="D10" s="10"/>
      <c r="E10" s="10"/>
      <c r="F10" s="10"/>
      <c r="J10" s="5"/>
      <c r="K10" s="10"/>
      <c r="L10" s="10"/>
      <c r="M10" s="10"/>
      <c r="N10" s="10"/>
      <c r="O10" s="10"/>
      <c r="P10" s="10"/>
    </row>
    <row r="11" spans="1:16" x14ac:dyDescent="0.25">
      <c r="A11" s="21">
        <v>8</v>
      </c>
      <c r="B11" s="26">
        <v>0.48351648351648352</v>
      </c>
      <c r="C11" s="10"/>
      <c r="D11" s="10"/>
      <c r="E11" s="10"/>
      <c r="F11" s="10"/>
      <c r="J11" s="5"/>
      <c r="K11" s="10"/>
      <c r="L11" s="10"/>
      <c r="M11" s="10"/>
      <c r="N11" s="10"/>
      <c r="O11" s="10"/>
      <c r="P11" s="10"/>
    </row>
    <row r="12" spans="1:16" x14ac:dyDescent="0.25">
      <c r="A12" s="21">
        <v>9</v>
      </c>
      <c r="B12" s="26">
        <v>0.53614806246385205</v>
      </c>
      <c r="C12" s="10"/>
      <c r="D12" s="10"/>
      <c r="E12" s="10"/>
      <c r="F12" s="10"/>
      <c r="J12" s="5"/>
      <c r="K12" s="10"/>
      <c r="L12" s="10"/>
      <c r="M12" s="10"/>
      <c r="N12" s="10"/>
      <c r="O12" s="10"/>
      <c r="P12" s="10"/>
    </row>
    <row r="13" spans="1:16" x14ac:dyDescent="0.25">
      <c r="A13" s="21">
        <v>10</v>
      </c>
      <c r="B13" s="26">
        <v>0.53961827646038174</v>
      </c>
      <c r="C13" s="10"/>
      <c r="D13" s="10"/>
      <c r="E13" s="10"/>
      <c r="F13" s="10"/>
      <c r="J13" s="5"/>
      <c r="K13" s="10"/>
      <c r="L13" s="10"/>
      <c r="M13" s="10"/>
      <c r="N13" s="10"/>
      <c r="O13" s="10"/>
      <c r="P13" s="10"/>
    </row>
    <row r="14" spans="1:16" x14ac:dyDescent="0.25">
      <c r="A14" s="21">
        <v>11</v>
      </c>
      <c r="B14" s="26">
        <v>0.81492192018507814</v>
      </c>
      <c r="C14" s="10"/>
      <c r="D14" s="10"/>
      <c r="E14" s="10"/>
      <c r="F14" s="10"/>
      <c r="J14" s="5"/>
      <c r="K14" s="10"/>
      <c r="L14" s="10"/>
      <c r="M14" s="10"/>
      <c r="N14" s="10"/>
      <c r="O14" s="10"/>
      <c r="P14" s="10"/>
    </row>
    <row r="15" spans="1:16" x14ac:dyDescent="0.25">
      <c r="A15" s="21">
        <v>12</v>
      </c>
      <c r="B15" s="26">
        <v>0.53094274146905729</v>
      </c>
      <c r="C15" s="10"/>
      <c r="D15" s="10"/>
      <c r="E15" s="10"/>
      <c r="F15" s="10"/>
      <c r="J15" s="5"/>
      <c r="K15" s="10"/>
      <c r="L15" s="10"/>
      <c r="M15" s="10"/>
      <c r="N15" s="10"/>
      <c r="O15" s="10"/>
      <c r="P15" s="10"/>
    </row>
    <row r="16" spans="1:16" x14ac:dyDescent="0.25">
      <c r="A16" s="21">
        <v>13</v>
      </c>
      <c r="B16" s="26">
        <v>0.69635627530364375</v>
      </c>
      <c r="C16" s="10"/>
      <c r="D16" s="10"/>
      <c r="E16" s="10"/>
      <c r="F16" s="10"/>
      <c r="G16" s="10"/>
      <c r="J16" s="5"/>
      <c r="K16" s="10"/>
      <c r="L16" s="10"/>
      <c r="M16" s="10"/>
      <c r="N16" s="10"/>
      <c r="O16" s="10"/>
      <c r="P16" s="10"/>
    </row>
    <row r="17" spans="1:16" x14ac:dyDescent="0.25">
      <c r="A17" s="21">
        <v>14</v>
      </c>
      <c r="B17" s="26">
        <v>0.75534991324465017</v>
      </c>
      <c r="C17" s="10"/>
      <c r="D17" s="10"/>
      <c r="E17" s="10"/>
      <c r="F17" s="10"/>
      <c r="G17" s="10"/>
      <c r="J17" s="5"/>
      <c r="K17" s="10"/>
      <c r="L17" s="10"/>
      <c r="M17" s="10"/>
      <c r="N17" s="10"/>
      <c r="O17" s="10"/>
      <c r="P17" s="10"/>
    </row>
    <row r="18" spans="1:16" x14ac:dyDescent="0.25">
      <c r="A18" s="21">
        <v>15</v>
      </c>
      <c r="B18" s="26">
        <v>0.63331405436668597</v>
      </c>
      <c r="C18" s="10"/>
      <c r="D18" s="10"/>
      <c r="E18" s="10"/>
      <c r="F18" s="10"/>
      <c r="G18" s="10"/>
      <c r="J18" s="5"/>
      <c r="K18" s="10"/>
      <c r="L18" s="10"/>
      <c r="M18" s="10"/>
      <c r="N18" s="10"/>
      <c r="O18" s="10"/>
      <c r="P18" s="10"/>
    </row>
    <row r="19" spans="1:16" x14ac:dyDescent="0.25">
      <c r="A19" s="21">
        <v>16</v>
      </c>
      <c r="B19" s="26">
        <v>0.48235974551764027</v>
      </c>
      <c r="C19" s="10"/>
      <c r="D19" s="10"/>
      <c r="E19" s="10"/>
      <c r="F19" s="10"/>
      <c r="G19" s="10"/>
      <c r="J19" s="5"/>
      <c r="K19" s="10"/>
      <c r="L19" s="10"/>
      <c r="M19" s="10"/>
      <c r="N19" s="10"/>
      <c r="O19" s="10"/>
      <c r="P19" s="10"/>
    </row>
    <row r="20" spans="1:16" x14ac:dyDescent="0.25">
      <c r="A20" s="21">
        <v>17</v>
      </c>
      <c r="B20" s="26">
        <v>0.60613071139386931</v>
      </c>
      <c r="C20" s="10"/>
      <c r="D20" s="10"/>
      <c r="E20" s="10"/>
      <c r="F20" s="10"/>
      <c r="G20" s="10"/>
      <c r="J20" s="5"/>
      <c r="K20" s="10"/>
      <c r="L20" s="10"/>
      <c r="M20" s="10"/>
      <c r="N20" s="10"/>
      <c r="O20" s="10"/>
      <c r="P20" s="10"/>
    </row>
    <row r="21" spans="1:16" x14ac:dyDescent="0.25">
      <c r="A21" s="21">
        <v>18</v>
      </c>
      <c r="B21" s="26">
        <v>0.79005205320994809</v>
      </c>
      <c r="C21" s="10"/>
      <c r="D21" s="10"/>
      <c r="E21" s="10"/>
      <c r="F21" s="10"/>
      <c r="G21" s="10"/>
      <c r="J21" s="5"/>
      <c r="K21" s="10"/>
      <c r="L21" s="10"/>
      <c r="M21" s="10"/>
      <c r="N21" s="10"/>
      <c r="O21" s="10"/>
      <c r="P21" s="10"/>
    </row>
    <row r="22" spans="1:16" x14ac:dyDescent="0.25">
      <c r="A22" s="21">
        <v>19</v>
      </c>
      <c r="B22" s="26">
        <v>0.64025448235974558</v>
      </c>
      <c r="C22" s="10"/>
      <c r="D22" s="10"/>
      <c r="E22" s="10"/>
      <c r="F22" s="10"/>
      <c r="G22" s="10"/>
      <c r="J22" s="5"/>
      <c r="K22" s="10"/>
      <c r="L22" s="10"/>
      <c r="M22" s="10"/>
      <c r="N22" s="10"/>
      <c r="O22" s="10"/>
      <c r="P22" s="10"/>
    </row>
    <row r="23" spans="1:16" x14ac:dyDescent="0.25">
      <c r="A23" s="21">
        <v>20</v>
      </c>
      <c r="B23" s="26">
        <v>0.85656448814343567</v>
      </c>
      <c r="C23" s="10"/>
      <c r="D23" s="10"/>
      <c r="E23" s="10"/>
      <c r="F23" s="10"/>
      <c r="G23" s="10"/>
      <c r="J23" s="5"/>
      <c r="K23" s="10"/>
      <c r="L23" s="10"/>
      <c r="M23" s="10"/>
      <c r="N23" s="10"/>
      <c r="O23" s="10"/>
      <c r="P23" s="10"/>
    </row>
    <row r="24" spans="1:16" x14ac:dyDescent="0.25">
      <c r="A24" s="21">
        <v>21</v>
      </c>
      <c r="B24" s="26">
        <v>0.85887796414112216</v>
      </c>
      <c r="C24" s="10"/>
      <c r="D24" s="10"/>
      <c r="E24" s="10"/>
      <c r="F24" s="10"/>
      <c r="G24" s="10"/>
      <c r="J24" s="5"/>
      <c r="K24" s="10"/>
      <c r="L24" s="10"/>
      <c r="M24" s="10"/>
      <c r="N24" s="10"/>
      <c r="O24" s="10"/>
      <c r="P24" s="10"/>
    </row>
    <row r="25" spans="1:16" x14ac:dyDescent="0.25">
      <c r="A25" s="21">
        <v>22</v>
      </c>
      <c r="B25" s="26">
        <v>0.52805089647194914</v>
      </c>
      <c r="C25" s="10"/>
      <c r="D25" s="10"/>
      <c r="E25" s="10"/>
      <c r="F25" s="10"/>
      <c r="G25" s="10"/>
      <c r="J25" s="5"/>
      <c r="K25" s="10"/>
      <c r="L25" s="10"/>
      <c r="M25" s="10"/>
      <c r="N25" s="10"/>
      <c r="O25" s="10"/>
      <c r="P25" s="10"/>
    </row>
    <row r="26" spans="1:16" x14ac:dyDescent="0.25">
      <c r="A26" s="21">
        <v>23</v>
      </c>
      <c r="B26" s="26">
        <v>0.6911509543088491</v>
      </c>
      <c r="C26" s="10"/>
      <c r="D26" s="10"/>
      <c r="E26" s="10"/>
      <c r="F26" s="10"/>
      <c r="G26" s="10"/>
      <c r="J26" s="5"/>
      <c r="K26" s="10"/>
      <c r="L26" s="10"/>
      <c r="M26" s="10"/>
      <c r="N26" s="10"/>
      <c r="O26" s="10"/>
      <c r="P26" s="10"/>
    </row>
    <row r="27" spans="1:16" x14ac:dyDescent="0.25">
      <c r="A27" s="21">
        <v>24</v>
      </c>
      <c r="B27" s="26">
        <v>0.77617119722382888</v>
      </c>
      <c r="C27" s="10"/>
      <c r="D27" s="10"/>
      <c r="E27" s="10"/>
      <c r="F27" s="10"/>
      <c r="G27" s="10"/>
      <c r="J27" s="5"/>
      <c r="K27" s="10"/>
      <c r="L27" s="10"/>
      <c r="M27" s="10"/>
      <c r="N27" s="10"/>
      <c r="O27" s="10"/>
      <c r="P27" s="10"/>
    </row>
    <row r="28" spans="1:16" x14ac:dyDescent="0.25">
      <c r="G28" s="10"/>
    </row>
  </sheetData>
  <mergeCells count="6">
    <mergeCell ref="K2:M2"/>
    <mergeCell ref="N2:P2"/>
    <mergeCell ref="A2:A3"/>
    <mergeCell ref="A1:C1"/>
    <mergeCell ref="C2:E2"/>
    <mergeCell ref="J2:J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F178-74FC-463A-9DE5-346E3A4D2EB5}">
  <dimension ref="B1:O127"/>
  <sheetViews>
    <sheetView workbookViewId="0">
      <selection activeCell="I33" sqref="I33"/>
    </sheetView>
  </sheetViews>
  <sheetFormatPr defaultColWidth="11.42578125" defaultRowHeight="15" x14ac:dyDescent="0.25"/>
  <cols>
    <col min="1" max="1" width="2.85546875" customWidth="1"/>
    <col min="2" max="2" width="2.85546875" style="3" customWidth="1"/>
    <col min="3" max="4" width="8.85546875" style="9" customWidth="1"/>
    <col min="5" max="5" width="2.85546875" customWidth="1"/>
    <col min="7" max="9" width="14.85546875" style="9" customWidth="1"/>
  </cols>
  <sheetData>
    <row r="1" spans="2:15" ht="18.75" x14ac:dyDescent="0.3">
      <c r="B1"/>
      <c r="C1"/>
      <c r="D1" s="2" t="s">
        <v>6</v>
      </c>
      <c r="G1"/>
      <c r="H1"/>
      <c r="I1"/>
      <c r="J1" s="32"/>
      <c r="K1" s="32"/>
      <c r="L1" s="32"/>
      <c r="M1" s="32"/>
      <c r="N1" s="32"/>
      <c r="O1" s="32"/>
    </row>
    <row r="2" spans="2:15" x14ac:dyDescent="0.25">
      <c r="B2" s="1"/>
      <c r="C2" s="1" t="s">
        <v>1</v>
      </c>
      <c r="D2" s="1" t="s">
        <v>3</v>
      </c>
      <c r="F2" t="s">
        <v>7</v>
      </c>
      <c r="G2" s="12">
        <v>1</v>
      </c>
      <c r="H2" s="12">
        <v>2</v>
      </c>
      <c r="I2" s="12">
        <v>3</v>
      </c>
      <c r="J2" s="12"/>
      <c r="L2" s="12"/>
      <c r="M2" s="12"/>
      <c r="N2" s="12"/>
      <c r="O2" s="12"/>
    </row>
    <row r="3" spans="2:15" x14ac:dyDescent="0.25">
      <c r="B3" s="3">
        <v>1</v>
      </c>
      <c r="C3" s="9">
        <v>3</v>
      </c>
      <c r="D3" s="9">
        <v>80</v>
      </c>
      <c r="F3" s="3">
        <v>1</v>
      </c>
      <c r="G3" s="8">
        <v>0.50518748017411796</v>
      </c>
      <c r="H3" s="11">
        <v>0.48359294699099281</v>
      </c>
      <c r="I3" s="8">
        <v>0.26108664600321807</v>
      </c>
      <c r="J3" s="11"/>
      <c r="K3" s="3"/>
      <c r="L3" s="3"/>
      <c r="M3" s="3"/>
      <c r="N3" s="8"/>
    </row>
    <row r="4" spans="2:15" x14ac:dyDescent="0.25">
      <c r="B4" s="3">
        <v>2</v>
      </c>
      <c r="C4" s="9">
        <v>4</v>
      </c>
      <c r="D4" s="9">
        <v>50</v>
      </c>
      <c r="F4" s="3">
        <v>2</v>
      </c>
      <c r="G4" s="8">
        <v>0.86407938550194174</v>
      </c>
      <c r="H4" s="11">
        <v>7.0990885609041404E-2</v>
      </c>
      <c r="I4" s="8">
        <v>8.2565542460023011E-3</v>
      </c>
      <c r="J4" s="11"/>
      <c r="K4" s="3"/>
      <c r="L4" s="3"/>
      <c r="M4" s="3"/>
      <c r="N4" s="8"/>
    </row>
    <row r="5" spans="2:15" x14ac:dyDescent="0.25">
      <c r="B5" s="3">
        <v>3</v>
      </c>
      <c r="C5" s="9">
        <v>5</v>
      </c>
      <c r="D5" s="9">
        <v>40</v>
      </c>
      <c r="F5" s="3">
        <v>3</v>
      </c>
      <c r="G5" s="8">
        <v>0.41473677428665856</v>
      </c>
      <c r="H5" s="11">
        <v>0.19317136770173118</v>
      </c>
      <c r="I5" s="8">
        <v>0</v>
      </c>
      <c r="J5" s="11"/>
      <c r="K5" s="3"/>
      <c r="L5" s="3"/>
      <c r="M5" s="3"/>
      <c r="N5" s="8"/>
    </row>
    <row r="6" spans="2:15" x14ac:dyDescent="0.25">
      <c r="B6"/>
      <c r="C6"/>
      <c r="D6"/>
      <c r="F6" s="3">
        <v>4</v>
      </c>
      <c r="G6" s="8">
        <v>0.30850928120281584</v>
      </c>
      <c r="H6" s="11">
        <v>0.17308277459592455</v>
      </c>
      <c r="I6" s="8">
        <v>0</v>
      </c>
      <c r="J6" s="11"/>
      <c r="K6" s="3"/>
      <c r="L6" s="3"/>
      <c r="M6" s="3"/>
      <c r="N6" s="8"/>
    </row>
    <row r="7" spans="2:15" x14ac:dyDescent="0.25">
      <c r="B7"/>
      <c r="C7"/>
      <c r="D7"/>
      <c r="F7" s="3">
        <v>5</v>
      </c>
      <c r="G7" s="8">
        <v>0.23131199041473816</v>
      </c>
      <c r="H7" s="11">
        <v>0.15732654343637406</v>
      </c>
      <c r="I7" s="8">
        <v>2.5471874113852429E-3</v>
      </c>
      <c r="J7" s="11"/>
      <c r="K7" s="3"/>
      <c r="L7" s="3"/>
      <c r="M7" s="3"/>
      <c r="N7" s="8"/>
    </row>
    <row r="8" spans="2:15" x14ac:dyDescent="0.25">
      <c r="B8"/>
      <c r="C8"/>
      <c r="D8"/>
      <c r="F8" s="3">
        <v>6</v>
      </c>
      <c r="G8" s="8">
        <v>0.51659317473887301</v>
      </c>
      <c r="H8" s="8">
        <v>0.41442677750662538</v>
      </c>
      <c r="I8" s="8">
        <v>0</v>
      </c>
      <c r="J8" s="11"/>
      <c r="K8" s="3"/>
      <c r="L8" s="3"/>
      <c r="M8" s="3"/>
      <c r="N8" s="8"/>
    </row>
    <row r="9" spans="2:15" x14ac:dyDescent="0.25">
      <c r="B9"/>
      <c r="C9"/>
      <c r="D9"/>
      <c r="F9" s="3">
        <v>7</v>
      </c>
      <c r="G9" s="8">
        <v>0.20017197536961048</v>
      </c>
      <c r="H9" s="8">
        <v>0.72425824380555648</v>
      </c>
      <c r="I9" s="8">
        <v>0</v>
      </c>
      <c r="J9" s="11"/>
      <c r="K9" s="3"/>
      <c r="L9" s="3"/>
      <c r="M9" s="3"/>
      <c r="N9" s="8"/>
    </row>
    <row r="10" spans="2:15" x14ac:dyDescent="0.25">
      <c r="B10"/>
      <c r="C10"/>
      <c r="D10"/>
      <c r="F10" s="3">
        <v>8</v>
      </c>
      <c r="G10" s="8">
        <v>0.75000062499993836</v>
      </c>
      <c r="H10" s="8">
        <v>0.2425617706372778</v>
      </c>
      <c r="I10" s="8">
        <v>0</v>
      </c>
      <c r="J10" s="11"/>
      <c r="K10" s="3"/>
      <c r="L10" s="3"/>
      <c r="M10" s="3"/>
      <c r="N10" s="8"/>
    </row>
    <row r="11" spans="2:15" x14ac:dyDescent="0.25">
      <c r="B11"/>
      <c r="C11"/>
      <c r="D11"/>
      <c r="F11" s="3">
        <v>9</v>
      </c>
      <c r="G11" s="8">
        <v>0.40544306814143927</v>
      </c>
      <c r="H11" s="8">
        <v>0.40988257288318042</v>
      </c>
      <c r="I11" s="8">
        <v>0</v>
      </c>
      <c r="J11" s="11"/>
      <c r="K11" s="3"/>
      <c r="L11" s="3"/>
      <c r="M11" s="3"/>
      <c r="N11" s="8"/>
    </row>
    <row r="12" spans="2:15" x14ac:dyDescent="0.25">
      <c r="B12"/>
      <c r="C12" s="19"/>
      <c r="D12"/>
      <c r="F12" s="3">
        <v>10</v>
      </c>
      <c r="G12" s="8">
        <v>0.70138041370282955</v>
      </c>
      <c r="H12" s="8">
        <v>0.84356513140775713</v>
      </c>
      <c r="I12" s="8">
        <v>0</v>
      </c>
      <c r="J12" s="11"/>
      <c r="K12" s="3"/>
      <c r="L12" s="3"/>
      <c r="M12" s="3"/>
      <c r="N12" s="8"/>
    </row>
    <row r="13" spans="2:15" x14ac:dyDescent="0.25">
      <c r="B13"/>
      <c r="C13"/>
      <c r="D13"/>
      <c r="F13" s="3">
        <v>11</v>
      </c>
      <c r="G13" s="8">
        <v>0.17838100752714195</v>
      </c>
      <c r="H13" s="8">
        <v>0.92033811486760542</v>
      </c>
      <c r="I13" s="8">
        <v>0.6028006111047679</v>
      </c>
      <c r="J13" s="11"/>
      <c r="K13" s="3"/>
      <c r="L13" s="3"/>
      <c r="M13" s="3"/>
      <c r="N13" s="8"/>
    </row>
    <row r="14" spans="2:15" x14ac:dyDescent="0.25">
      <c r="B14"/>
      <c r="C14"/>
      <c r="D14"/>
      <c r="F14" s="3">
        <v>12</v>
      </c>
      <c r="G14" s="8">
        <v>0.6130266803229556</v>
      </c>
      <c r="H14" s="8">
        <v>0.98341382375319686</v>
      </c>
      <c r="I14" s="8">
        <v>0.49124071664976132</v>
      </c>
      <c r="J14" s="11"/>
      <c r="K14" s="3"/>
      <c r="L14" s="3"/>
      <c r="M14" s="3"/>
      <c r="N14" s="8"/>
    </row>
    <row r="15" spans="2:15" x14ac:dyDescent="0.25">
      <c r="B15"/>
      <c r="C15"/>
      <c r="D15"/>
      <c r="F15" s="3">
        <v>13</v>
      </c>
      <c r="G15" s="8">
        <v>0.19400308786063677</v>
      </c>
      <c r="H15" s="8">
        <v>3.2356970418177754E-3</v>
      </c>
      <c r="I15" s="8">
        <v>0.85420515410094344</v>
      </c>
      <c r="J15" s="11"/>
      <c r="K15" s="3"/>
      <c r="L15" s="3"/>
      <c r="M15" s="3"/>
      <c r="N15" s="8"/>
    </row>
    <row r="16" spans="2:15" x14ac:dyDescent="0.25">
      <c r="B16"/>
      <c r="C16"/>
      <c r="D16"/>
      <c r="F16" s="3">
        <v>14</v>
      </c>
      <c r="G16" s="8">
        <v>0.50226356456911536</v>
      </c>
      <c r="H16" s="8">
        <v>0.53143894728717245</v>
      </c>
      <c r="I16" s="8">
        <v>0.37000769178495041</v>
      </c>
      <c r="J16" s="11"/>
      <c r="K16" s="3"/>
      <c r="L16" s="3"/>
      <c r="M16" s="3"/>
      <c r="N16" s="8"/>
    </row>
    <row r="17" spans="6:14" x14ac:dyDescent="0.25">
      <c r="F17" s="3">
        <v>15</v>
      </c>
      <c r="G17" s="8">
        <v>0.8339005550893378</v>
      </c>
      <c r="H17" s="8">
        <v>9.8387119415956029E-2</v>
      </c>
      <c r="I17" s="8">
        <v>0.18113318897214165</v>
      </c>
      <c r="J17" s="11"/>
      <c r="K17" s="3"/>
      <c r="L17" s="3"/>
      <c r="M17" s="3"/>
      <c r="N17" s="8"/>
    </row>
    <row r="18" spans="6:14" x14ac:dyDescent="0.25">
      <c r="F18" s="3">
        <v>16</v>
      </c>
      <c r="G18" s="8">
        <v>0.63954645270875221</v>
      </c>
      <c r="H18" s="8">
        <v>1</v>
      </c>
      <c r="I18" s="8">
        <v>0.41585366140314495</v>
      </c>
      <c r="J18" s="11"/>
      <c r="K18" s="3"/>
      <c r="L18" s="3"/>
      <c r="M18" s="3"/>
      <c r="N18" s="8"/>
    </row>
    <row r="19" spans="6:14" x14ac:dyDescent="0.25">
      <c r="F19" s="3">
        <v>17</v>
      </c>
      <c r="G19" s="8">
        <v>0.39436393538570208</v>
      </c>
      <c r="H19" s="8">
        <v>0.96609574619550431</v>
      </c>
      <c r="I19" s="8">
        <v>0.13754273301389289</v>
      </c>
      <c r="J19" s="11"/>
      <c r="K19" s="3"/>
      <c r="L19" s="3"/>
      <c r="M19" s="3"/>
      <c r="N19" s="8"/>
    </row>
    <row r="20" spans="6:14" x14ac:dyDescent="0.25">
      <c r="F20" s="3">
        <v>18</v>
      </c>
      <c r="G20" s="8">
        <v>2.1442591951672835E-2</v>
      </c>
      <c r="H20" s="8">
        <v>0.9989918638495805</v>
      </c>
      <c r="I20" s="8">
        <v>0.2104469105595772</v>
      </c>
      <c r="J20" s="11"/>
      <c r="K20" s="3"/>
      <c r="L20" s="3"/>
      <c r="M20" s="3"/>
      <c r="N20" s="8"/>
    </row>
    <row r="21" spans="6:14" x14ac:dyDescent="0.25">
      <c r="F21" s="3">
        <v>19</v>
      </c>
      <c r="G21" s="8">
        <v>0.21895858152874628</v>
      </c>
      <c r="H21" s="8">
        <v>0.3292458193817045</v>
      </c>
      <c r="I21" s="8">
        <v>0</v>
      </c>
      <c r="J21" s="11"/>
      <c r="K21" s="3"/>
      <c r="L21" s="3"/>
      <c r="M21" s="3"/>
      <c r="N21" s="8"/>
    </row>
    <row r="22" spans="6:14" x14ac:dyDescent="0.25">
      <c r="F22" s="3">
        <v>20</v>
      </c>
      <c r="G22" s="8">
        <v>1</v>
      </c>
      <c r="H22" s="8">
        <v>0.21080946416375307</v>
      </c>
      <c r="I22" s="8">
        <v>0</v>
      </c>
      <c r="J22" s="11"/>
      <c r="K22" s="3"/>
      <c r="L22" s="3"/>
      <c r="M22" s="3"/>
      <c r="N22" s="8"/>
    </row>
    <row r="23" spans="6:14" x14ac:dyDescent="0.25">
      <c r="F23" s="3">
        <v>21</v>
      </c>
      <c r="G23" s="8">
        <v>0.99422569145943462</v>
      </c>
      <c r="H23" s="8">
        <v>0.3942482236450004</v>
      </c>
      <c r="I23" s="8">
        <v>0</v>
      </c>
      <c r="J23" s="11"/>
      <c r="K23" s="3"/>
      <c r="L23" s="3"/>
      <c r="M23" s="3"/>
      <c r="N23" s="8"/>
    </row>
    <row r="24" spans="6:14" x14ac:dyDescent="0.25">
      <c r="F24" s="3">
        <v>22</v>
      </c>
      <c r="G24" s="8">
        <v>0.17333407808304266</v>
      </c>
      <c r="H24" s="8">
        <v>0.40260227653296543</v>
      </c>
      <c r="I24" s="8">
        <v>1.5690547356408233E-3</v>
      </c>
      <c r="J24" s="11"/>
      <c r="K24" s="3"/>
      <c r="L24" s="3"/>
      <c r="M24" s="3"/>
      <c r="N24" s="8"/>
    </row>
    <row r="25" spans="6:14" x14ac:dyDescent="0.25">
      <c r="F25" s="3">
        <v>23</v>
      </c>
      <c r="G25" s="8">
        <v>0.49901657369980207</v>
      </c>
      <c r="H25" s="8">
        <v>2.0565694848930244E-2</v>
      </c>
      <c r="I25" s="8">
        <v>0.6663623548182227</v>
      </c>
      <c r="J25" s="11"/>
      <c r="K25" s="3"/>
      <c r="L25" s="3"/>
      <c r="M25" s="3"/>
      <c r="N25" s="8"/>
    </row>
    <row r="26" spans="6:14" x14ac:dyDescent="0.25">
      <c r="F26" s="3">
        <v>24</v>
      </c>
      <c r="G26" s="8">
        <v>0.88462648956727319</v>
      </c>
      <c r="H26" s="8">
        <v>0.98925448133083815</v>
      </c>
      <c r="I26" s="8">
        <v>0.40775782973082092</v>
      </c>
      <c r="J26" s="11"/>
      <c r="K26" s="3"/>
      <c r="L26" s="3"/>
      <c r="M26" s="3"/>
      <c r="N26" s="8"/>
    </row>
    <row r="27" spans="6:14" x14ac:dyDescent="0.25">
      <c r="N27" s="8"/>
    </row>
    <row r="28" spans="6:14" x14ac:dyDescent="0.25">
      <c r="N28" s="8"/>
    </row>
    <row r="29" spans="6:14" x14ac:dyDescent="0.25">
      <c r="N29" s="8"/>
    </row>
    <row r="30" spans="6:14" x14ac:dyDescent="0.25">
      <c r="N30" s="8"/>
    </row>
    <row r="31" spans="6:14" x14ac:dyDescent="0.25">
      <c r="N31" s="8"/>
    </row>
    <row r="32" spans="6:14" x14ac:dyDescent="0.25">
      <c r="N32" s="8"/>
    </row>
    <row r="33" spans="14:14" x14ac:dyDescent="0.25">
      <c r="N33" s="8"/>
    </row>
    <row r="34" spans="14:14" x14ac:dyDescent="0.25">
      <c r="N34" s="8"/>
    </row>
    <row r="35" spans="14:14" x14ac:dyDescent="0.25">
      <c r="N35" s="8"/>
    </row>
    <row r="36" spans="14:14" x14ac:dyDescent="0.25">
      <c r="N36" s="8"/>
    </row>
    <row r="37" spans="14:14" x14ac:dyDescent="0.25">
      <c r="N37" s="8"/>
    </row>
    <row r="38" spans="14:14" x14ac:dyDescent="0.25">
      <c r="N38" s="8"/>
    </row>
    <row r="39" spans="14:14" x14ac:dyDescent="0.25">
      <c r="N39" s="8"/>
    </row>
    <row r="40" spans="14:14" x14ac:dyDescent="0.25">
      <c r="N40" s="8"/>
    </row>
    <row r="41" spans="14:14" x14ac:dyDescent="0.25">
      <c r="N41" s="8"/>
    </row>
    <row r="42" spans="14:14" x14ac:dyDescent="0.25">
      <c r="N42" s="8"/>
    </row>
    <row r="43" spans="14:14" x14ac:dyDescent="0.25">
      <c r="N43" s="8"/>
    </row>
    <row r="44" spans="14:14" x14ac:dyDescent="0.25">
      <c r="N44" s="8"/>
    </row>
    <row r="45" spans="14:14" x14ac:dyDescent="0.25">
      <c r="N45" s="8"/>
    </row>
    <row r="46" spans="14:14" x14ac:dyDescent="0.25">
      <c r="N46" s="8"/>
    </row>
    <row r="47" spans="14:14" x14ac:dyDescent="0.25">
      <c r="N47" s="8"/>
    </row>
    <row r="48" spans="14:14" x14ac:dyDescent="0.25">
      <c r="N48" s="8"/>
    </row>
    <row r="49" spans="14:14" x14ac:dyDescent="0.25">
      <c r="N49" s="8"/>
    </row>
    <row r="50" spans="14:14" x14ac:dyDescent="0.25">
      <c r="N50" s="8"/>
    </row>
    <row r="51" spans="14:14" x14ac:dyDescent="0.25">
      <c r="N51" s="8"/>
    </row>
    <row r="52" spans="14:14" x14ac:dyDescent="0.25">
      <c r="N52" s="8"/>
    </row>
    <row r="53" spans="14:14" x14ac:dyDescent="0.25">
      <c r="N53" s="8"/>
    </row>
    <row r="54" spans="14:14" x14ac:dyDescent="0.25">
      <c r="N54" s="8"/>
    </row>
    <row r="55" spans="14:14" x14ac:dyDescent="0.25">
      <c r="N55" s="8"/>
    </row>
    <row r="56" spans="14:14" x14ac:dyDescent="0.25">
      <c r="N56" s="8"/>
    </row>
    <row r="57" spans="14:14" x14ac:dyDescent="0.25">
      <c r="N57" s="8"/>
    </row>
    <row r="58" spans="14:14" x14ac:dyDescent="0.25">
      <c r="N58" s="8"/>
    </row>
    <row r="59" spans="14:14" x14ac:dyDescent="0.25">
      <c r="N59" s="8"/>
    </row>
    <row r="60" spans="14:14" x14ac:dyDescent="0.25">
      <c r="N60" s="8"/>
    </row>
    <row r="61" spans="14:14" x14ac:dyDescent="0.25">
      <c r="N61" s="8"/>
    </row>
    <row r="62" spans="14:14" x14ac:dyDescent="0.25">
      <c r="N62" s="8"/>
    </row>
    <row r="63" spans="14:14" x14ac:dyDescent="0.25">
      <c r="N63" s="8"/>
    </row>
    <row r="64" spans="14:14" x14ac:dyDescent="0.25">
      <c r="N64" s="8"/>
    </row>
    <row r="65" spans="14:14" x14ac:dyDescent="0.25">
      <c r="N65" s="8"/>
    </row>
    <row r="66" spans="14:14" x14ac:dyDescent="0.25">
      <c r="N66" s="8"/>
    </row>
    <row r="67" spans="14:14" x14ac:dyDescent="0.25">
      <c r="N67" s="8"/>
    </row>
    <row r="68" spans="14:14" x14ac:dyDescent="0.25">
      <c r="N68" s="8"/>
    </row>
    <row r="69" spans="14:14" x14ac:dyDescent="0.25">
      <c r="N69" s="8"/>
    </row>
    <row r="70" spans="14:14" x14ac:dyDescent="0.25">
      <c r="N70" s="8"/>
    </row>
    <row r="71" spans="14:14" x14ac:dyDescent="0.25">
      <c r="N71" s="8"/>
    </row>
    <row r="72" spans="14:14" x14ac:dyDescent="0.25">
      <c r="N72" s="8"/>
    </row>
    <row r="73" spans="14:14" x14ac:dyDescent="0.25">
      <c r="N73" s="8"/>
    </row>
    <row r="74" spans="14:14" x14ac:dyDescent="0.25">
      <c r="N74" s="8"/>
    </row>
    <row r="75" spans="14:14" x14ac:dyDescent="0.25">
      <c r="N75" s="8"/>
    </row>
    <row r="76" spans="14:14" x14ac:dyDescent="0.25">
      <c r="N76" s="8"/>
    </row>
    <row r="77" spans="14:14" x14ac:dyDescent="0.25">
      <c r="N77" s="8"/>
    </row>
    <row r="78" spans="14:14" x14ac:dyDescent="0.25">
      <c r="N78" s="8"/>
    </row>
    <row r="79" spans="14:14" x14ac:dyDescent="0.25">
      <c r="N79" s="8"/>
    </row>
    <row r="80" spans="14:14" x14ac:dyDescent="0.25">
      <c r="N80" s="8"/>
    </row>
    <row r="81" spans="14:14" x14ac:dyDescent="0.25">
      <c r="N81" s="8"/>
    </row>
    <row r="82" spans="14:14" x14ac:dyDescent="0.25">
      <c r="N82" s="8"/>
    </row>
    <row r="83" spans="14:14" x14ac:dyDescent="0.25">
      <c r="N83" s="8"/>
    </row>
    <row r="84" spans="14:14" x14ac:dyDescent="0.25">
      <c r="N84" s="8"/>
    </row>
    <row r="85" spans="14:14" x14ac:dyDescent="0.25">
      <c r="N85" s="8"/>
    </row>
    <row r="86" spans="14:14" x14ac:dyDescent="0.25">
      <c r="N86" s="8"/>
    </row>
    <row r="87" spans="14:14" x14ac:dyDescent="0.25">
      <c r="N87" s="8"/>
    </row>
    <row r="88" spans="14:14" x14ac:dyDescent="0.25">
      <c r="N88" s="8"/>
    </row>
    <row r="89" spans="14:14" x14ac:dyDescent="0.25">
      <c r="N89" s="8"/>
    </row>
    <row r="90" spans="14:14" x14ac:dyDescent="0.25">
      <c r="N90" s="8"/>
    </row>
    <row r="91" spans="14:14" x14ac:dyDescent="0.25">
      <c r="N91" s="8"/>
    </row>
    <row r="92" spans="14:14" x14ac:dyDescent="0.25">
      <c r="N92" s="8"/>
    </row>
    <row r="93" spans="14:14" x14ac:dyDescent="0.25">
      <c r="N93" s="8"/>
    </row>
    <row r="94" spans="14:14" x14ac:dyDescent="0.25">
      <c r="N94" s="8"/>
    </row>
    <row r="95" spans="14:14" x14ac:dyDescent="0.25">
      <c r="N95" s="8"/>
    </row>
    <row r="96" spans="14:14" x14ac:dyDescent="0.25">
      <c r="N96" s="8"/>
    </row>
    <row r="97" spans="14:14" x14ac:dyDescent="0.25">
      <c r="N97" s="8"/>
    </row>
    <row r="98" spans="14:14" x14ac:dyDescent="0.25">
      <c r="N98" s="8"/>
    </row>
    <row r="99" spans="14:14" x14ac:dyDescent="0.25">
      <c r="N99" s="8"/>
    </row>
    <row r="100" spans="14:14" x14ac:dyDescent="0.25">
      <c r="N100" s="8"/>
    </row>
    <row r="101" spans="14:14" x14ac:dyDescent="0.25">
      <c r="N101" s="8"/>
    </row>
    <row r="102" spans="14:14" x14ac:dyDescent="0.25">
      <c r="N102" s="8"/>
    </row>
    <row r="103" spans="14:14" x14ac:dyDescent="0.25">
      <c r="N103" s="8"/>
    </row>
    <row r="104" spans="14:14" x14ac:dyDescent="0.25">
      <c r="N104" s="8"/>
    </row>
    <row r="105" spans="14:14" x14ac:dyDescent="0.25">
      <c r="N105" s="8"/>
    </row>
    <row r="106" spans="14:14" x14ac:dyDescent="0.25">
      <c r="N106" s="8"/>
    </row>
    <row r="107" spans="14:14" x14ac:dyDescent="0.25">
      <c r="N107" s="8"/>
    </row>
    <row r="108" spans="14:14" x14ac:dyDescent="0.25">
      <c r="N108" s="8"/>
    </row>
    <row r="109" spans="14:14" x14ac:dyDescent="0.25">
      <c r="N109" s="8"/>
    </row>
    <row r="110" spans="14:14" x14ac:dyDescent="0.25">
      <c r="N110" s="8"/>
    </row>
    <row r="111" spans="14:14" x14ac:dyDescent="0.25">
      <c r="N111" s="8"/>
    </row>
    <row r="112" spans="14:14" x14ac:dyDescent="0.25">
      <c r="N112" s="8"/>
    </row>
    <row r="113" spans="14:14" x14ac:dyDescent="0.25">
      <c r="N113" s="8"/>
    </row>
    <row r="114" spans="14:14" x14ac:dyDescent="0.25">
      <c r="N114" s="8"/>
    </row>
    <row r="115" spans="14:14" x14ac:dyDescent="0.25">
      <c r="N115" s="8"/>
    </row>
    <row r="116" spans="14:14" x14ac:dyDescent="0.25">
      <c r="N116" s="8"/>
    </row>
    <row r="117" spans="14:14" x14ac:dyDescent="0.25">
      <c r="N117" s="8"/>
    </row>
    <row r="118" spans="14:14" x14ac:dyDescent="0.25">
      <c r="N118" s="8"/>
    </row>
    <row r="119" spans="14:14" x14ac:dyDescent="0.25">
      <c r="N119" s="8"/>
    </row>
    <row r="120" spans="14:14" x14ac:dyDescent="0.25">
      <c r="N120" s="8"/>
    </row>
    <row r="121" spans="14:14" x14ac:dyDescent="0.25">
      <c r="N121" s="8"/>
    </row>
    <row r="122" spans="14:14" x14ac:dyDescent="0.25">
      <c r="N122" s="8"/>
    </row>
    <row r="123" spans="14:14" x14ac:dyDescent="0.25">
      <c r="N123" s="8"/>
    </row>
    <row r="124" spans="14:14" x14ac:dyDescent="0.25">
      <c r="N124" s="8"/>
    </row>
    <row r="125" spans="14:14" x14ac:dyDescent="0.25">
      <c r="N125" s="8"/>
    </row>
    <row r="126" spans="14:14" x14ac:dyDescent="0.25">
      <c r="N126" s="8"/>
    </row>
    <row r="127" spans="14:14" x14ac:dyDescent="0.25">
      <c r="N127" s="8"/>
    </row>
  </sheetData>
  <mergeCells count="2">
    <mergeCell ref="M1:O1"/>
    <mergeCell ref="J1:L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F5685-7ACE-45AA-9378-245F682E6AA4}">
  <dimension ref="B1:I22"/>
  <sheetViews>
    <sheetView tabSelected="1" workbookViewId="0">
      <selection activeCell="I20" sqref="I20"/>
    </sheetView>
  </sheetViews>
  <sheetFormatPr defaultColWidth="11.42578125" defaultRowHeight="15" x14ac:dyDescent="0.25"/>
  <cols>
    <col min="1" max="2" width="2.85546875" customWidth="1"/>
    <col min="3" max="6" width="8.85546875" customWidth="1"/>
  </cols>
  <sheetData>
    <row r="1" spans="2:9" x14ac:dyDescent="0.25">
      <c r="F1" s="4" t="s">
        <v>6</v>
      </c>
    </row>
    <row r="2" spans="2:9" x14ac:dyDescent="0.25">
      <c r="B2" s="5" t="s">
        <v>0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2:9" x14ac:dyDescent="0.25">
      <c r="B3" s="3">
        <v>1</v>
      </c>
      <c r="C3" s="9">
        <v>1</v>
      </c>
      <c r="D3" s="9">
        <v>2</v>
      </c>
      <c r="E3" s="8">
        <v>5.917E-2</v>
      </c>
      <c r="F3" s="7">
        <v>60</v>
      </c>
      <c r="G3" s="7"/>
      <c r="H3" s="7"/>
      <c r="I3" s="13"/>
    </row>
    <row r="4" spans="2:9" x14ac:dyDescent="0.25">
      <c r="B4" s="3">
        <v>2</v>
      </c>
      <c r="C4" s="9">
        <v>1</v>
      </c>
      <c r="D4" s="9">
        <v>5</v>
      </c>
      <c r="E4" s="8">
        <v>0.22303999999999999</v>
      </c>
      <c r="F4" s="7">
        <v>60</v>
      </c>
      <c r="G4" s="7"/>
      <c r="H4" s="7"/>
      <c r="I4" s="13"/>
    </row>
    <row r="5" spans="2:9" x14ac:dyDescent="0.25">
      <c r="B5" s="3">
        <v>3</v>
      </c>
      <c r="C5" s="9">
        <v>2</v>
      </c>
      <c r="D5" s="9">
        <v>3</v>
      </c>
      <c r="E5" s="8">
        <v>0.19797000000000001</v>
      </c>
      <c r="F5" s="7">
        <v>40</v>
      </c>
      <c r="G5" s="7"/>
      <c r="H5" s="7"/>
      <c r="I5" s="13"/>
    </row>
    <row r="6" spans="2:9" x14ac:dyDescent="0.25">
      <c r="B6" s="3">
        <v>4</v>
      </c>
      <c r="C6" s="9">
        <v>2</v>
      </c>
      <c r="D6" s="9">
        <v>4</v>
      </c>
      <c r="E6" s="8">
        <v>0.17632</v>
      </c>
      <c r="F6" s="7">
        <v>60</v>
      </c>
      <c r="G6" s="7"/>
      <c r="H6" s="7"/>
      <c r="I6" s="13"/>
    </row>
    <row r="7" spans="2:9" x14ac:dyDescent="0.25">
      <c r="B7" s="3">
        <v>5</v>
      </c>
      <c r="C7" s="9">
        <v>2</v>
      </c>
      <c r="D7" s="9">
        <v>5</v>
      </c>
      <c r="E7" s="8">
        <v>0.17388000000000001</v>
      </c>
      <c r="F7" s="7">
        <v>60</v>
      </c>
      <c r="G7" s="7"/>
      <c r="H7" s="16"/>
      <c r="I7" s="13"/>
    </row>
    <row r="8" spans="2:9" x14ac:dyDescent="0.25">
      <c r="B8" s="3">
        <v>6</v>
      </c>
      <c r="C8" s="9">
        <v>3</v>
      </c>
      <c r="D8" s="9">
        <v>4</v>
      </c>
      <c r="E8" s="8">
        <v>0.17102999999999999</v>
      </c>
      <c r="F8" s="7">
        <v>50</v>
      </c>
      <c r="G8" s="7"/>
      <c r="H8" s="7"/>
      <c r="I8" s="13"/>
    </row>
    <row r="9" spans="2:9" x14ac:dyDescent="0.25">
      <c r="B9" s="3">
        <v>7</v>
      </c>
      <c r="C9" s="9">
        <v>4</v>
      </c>
      <c r="D9" s="9">
        <v>5</v>
      </c>
      <c r="E9" s="8">
        <v>4.2110000000000002E-2</v>
      </c>
      <c r="F9" s="7">
        <v>70</v>
      </c>
      <c r="G9" s="7"/>
      <c r="H9" s="7"/>
      <c r="I9" s="13"/>
    </row>
    <row r="10" spans="2:9" x14ac:dyDescent="0.25">
      <c r="B10" s="3">
        <v>8</v>
      </c>
      <c r="C10" s="9">
        <v>4</v>
      </c>
      <c r="D10" s="9">
        <v>7</v>
      </c>
      <c r="E10" s="8">
        <v>0.20912</v>
      </c>
      <c r="F10" s="7">
        <v>70</v>
      </c>
      <c r="G10" s="7"/>
      <c r="H10" s="7"/>
      <c r="I10" s="13"/>
    </row>
    <row r="11" spans="2:9" x14ac:dyDescent="0.25">
      <c r="B11" s="3">
        <v>9</v>
      </c>
      <c r="C11" s="9">
        <v>4</v>
      </c>
      <c r="D11" s="9">
        <v>9</v>
      </c>
      <c r="E11" s="8">
        <v>0.55618000000000001</v>
      </c>
      <c r="F11" s="7">
        <v>90</v>
      </c>
      <c r="G11" s="7"/>
      <c r="H11" s="7"/>
      <c r="I11" s="13"/>
    </row>
    <row r="12" spans="2:9" x14ac:dyDescent="0.25">
      <c r="B12" s="3">
        <v>10</v>
      </c>
      <c r="C12" s="9">
        <v>5</v>
      </c>
      <c r="D12" s="9">
        <v>6</v>
      </c>
      <c r="E12" s="8">
        <v>0.25202000000000002</v>
      </c>
      <c r="F12" s="7">
        <v>90</v>
      </c>
      <c r="G12" s="7"/>
      <c r="H12" s="7"/>
      <c r="I12" s="13"/>
    </row>
    <row r="13" spans="2:9" x14ac:dyDescent="0.25">
      <c r="B13" s="3">
        <v>11</v>
      </c>
      <c r="C13" s="9">
        <v>6</v>
      </c>
      <c r="D13" s="9">
        <v>11</v>
      </c>
      <c r="E13" s="8">
        <v>0.19889999999999999</v>
      </c>
      <c r="F13" s="7">
        <v>100</v>
      </c>
      <c r="G13" s="7"/>
      <c r="H13" s="7"/>
      <c r="I13" s="13"/>
    </row>
    <row r="14" spans="2:9" x14ac:dyDescent="0.25">
      <c r="B14" s="3">
        <v>12</v>
      </c>
      <c r="C14" s="9">
        <v>6</v>
      </c>
      <c r="D14" s="9">
        <v>12</v>
      </c>
      <c r="E14" s="8">
        <v>0.25580999999999998</v>
      </c>
      <c r="F14" s="7">
        <v>100</v>
      </c>
      <c r="G14" s="7"/>
      <c r="H14" s="7"/>
      <c r="I14" s="13"/>
    </row>
    <row r="15" spans="2:9" x14ac:dyDescent="0.25">
      <c r="B15" s="3">
        <v>13</v>
      </c>
      <c r="C15" s="9">
        <v>6</v>
      </c>
      <c r="D15" s="9">
        <v>13</v>
      </c>
      <c r="E15" s="8">
        <v>0.13027</v>
      </c>
      <c r="F15" s="7">
        <v>50</v>
      </c>
      <c r="G15" s="7"/>
      <c r="H15" s="7"/>
      <c r="I15" s="13"/>
    </row>
    <row r="16" spans="2:9" x14ac:dyDescent="0.25">
      <c r="B16" s="3">
        <v>14</v>
      </c>
      <c r="C16" s="9">
        <v>7</v>
      </c>
      <c r="D16" s="9">
        <v>8</v>
      </c>
      <c r="E16" s="8">
        <v>0.17615</v>
      </c>
      <c r="F16" s="7">
        <v>90</v>
      </c>
      <c r="G16" s="7"/>
      <c r="H16" s="7"/>
      <c r="I16" s="13"/>
    </row>
    <row r="17" spans="2:9" x14ac:dyDescent="0.25">
      <c r="B17" s="3">
        <v>15</v>
      </c>
      <c r="C17" s="9">
        <v>7</v>
      </c>
      <c r="D17" s="9">
        <v>9</v>
      </c>
      <c r="E17" s="8">
        <v>0.11001</v>
      </c>
      <c r="F17" s="7">
        <v>90</v>
      </c>
      <c r="G17" s="7"/>
      <c r="H17" s="7"/>
      <c r="I17" s="13"/>
    </row>
    <row r="18" spans="2:9" x14ac:dyDescent="0.25">
      <c r="B18" s="3">
        <v>16</v>
      </c>
      <c r="C18" s="9">
        <v>9</v>
      </c>
      <c r="D18" s="9">
        <v>10</v>
      </c>
      <c r="E18" s="8">
        <v>8.4500000000000006E-2</v>
      </c>
      <c r="F18" s="7">
        <v>50</v>
      </c>
      <c r="G18" s="7"/>
      <c r="H18" s="7"/>
      <c r="I18" s="13"/>
    </row>
    <row r="19" spans="2:9" x14ac:dyDescent="0.25">
      <c r="B19" s="3">
        <v>17</v>
      </c>
      <c r="C19" s="9">
        <v>9</v>
      </c>
      <c r="D19" s="9">
        <v>14</v>
      </c>
      <c r="E19" s="8">
        <v>0.27038000000000001</v>
      </c>
      <c r="F19" s="7">
        <v>50</v>
      </c>
      <c r="G19" s="7"/>
      <c r="H19" s="7"/>
      <c r="I19" s="13"/>
    </row>
    <row r="20" spans="2:9" x14ac:dyDescent="0.25">
      <c r="B20" s="3">
        <v>18</v>
      </c>
      <c r="C20" s="9">
        <v>10</v>
      </c>
      <c r="D20" s="9">
        <v>11</v>
      </c>
      <c r="E20" s="8">
        <v>0.19206999999999999</v>
      </c>
      <c r="F20" s="7">
        <v>100</v>
      </c>
      <c r="G20" s="7"/>
      <c r="H20" s="7"/>
      <c r="I20" s="13"/>
    </row>
    <row r="21" spans="2:9" x14ac:dyDescent="0.25">
      <c r="B21" s="3">
        <v>19</v>
      </c>
      <c r="C21" s="9">
        <v>12</v>
      </c>
      <c r="D21" s="9">
        <v>13</v>
      </c>
      <c r="E21" s="8">
        <v>0.19988</v>
      </c>
      <c r="F21" s="7">
        <v>100</v>
      </c>
      <c r="G21" s="7"/>
      <c r="H21" s="7"/>
      <c r="I21" s="13"/>
    </row>
    <row r="22" spans="2:9" x14ac:dyDescent="0.25">
      <c r="B22" s="3">
        <v>20</v>
      </c>
      <c r="C22" s="9">
        <v>13</v>
      </c>
      <c r="D22" s="9">
        <v>14</v>
      </c>
      <c r="E22" s="8">
        <v>0.34802</v>
      </c>
      <c r="F22" s="7">
        <v>100</v>
      </c>
      <c r="G22" s="7"/>
      <c r="H22" s="7"/>
      <c r="I22" s="1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B940-4396-4AA6-BECE-33FE127525A0}">
  <dimension ref="B1:N27"/>
  <sheetViews>
    <sheetView zoomScaleNormal="100" workbookViewId="0">
      <selection activeCell="M8" sqref="M8"/>
    </sheetView>
  </sheetViews>
  <sheetFormatPr defaultColWidth="11.42578125" defaultRowHeight="15" x14ac:dyDescent="0.25"/>
  <cols>
    <col min="1" max="1" width="2.85546875" customWidth="1"/>
    <col min="2" max="2" width="2.85546875" style="3" customWidth="1"/>
    <col min="3" max="4" width="8.85546875" customWidth="1"/>
    <col min="5" max="5" width="2.85546875" customWidth="1"/>
    <col min="7" max="9" width="8.85546875" style="9" customWidth="1"/>
  </cols>
  <sheetData>
    <row r="1" spans="2:14" x14ac:dyDescent="0.25">
      <c r="D1" s="2" t="s">
        <v>6</v>
      </c>
    </row>
    <row r="2" spans="2:14" x14ac:dyDescent="0.25">
      <c r="B2" s="1"/>
      <c r="C2" s="1" t="s">
        <v>1</v>
      </c>
      <c r="D2" s="1" t="s">
        <v>3</v>
      </c>
      <c r="F2" t="s">
        <v>8</v>
      </c>
      <c r="G2" s="3" t="s">
        <v>26</v>
      </c>
      <c r="H2" s="3" t="s">
        <v>27</v>
      </c>
      <c r="I2" s="3" t="s">
        <v>28</v>
      </c>
      <c r="L2" s="12"/>
      <c r="M2" s="12"/>
      <c r="N2" s="12"/>
    </row>
    <row r="3" spans="2:14" x14ac:dyDescent="0.25">
      <c r="B3" s="3">
        <v>1</v>
      </c>
      <c r="C3" s="9">
        <v>1</v>
      </c>
      <c r="D3" s="9">
        <v>150</v>
      </c>
      <c r="F3">
        <v>1</v>
      </c>
      <c r="G3" s="8">
        <v>0</v>
      </c>
      <c r="H3" s="8">
        <v>0</v>
      </c>
      <c r="I3" s="8">
        <v>0</v>
      </c>
      <c r="M3" s="23"/>
      <c r="N3" s="20"/>
    </row>
    <row r="4" spans="2:14" x14ac:dyDescent="0.25">
      <c r="C4" s="9"/>
      <c r="D4" s="9"/>
      <c r="F4">
        <v>2</v>
      </c>
      <c r="G4" s="8">
        <v>0</v>
      </c>
      <c r="H4" s="8">
        <v>0</v>
      </c>
      <c r="I4" s="8">
        <v>0</v>
      </c>
      <c r="M4" s="23"/>
      <c r="N4" s="20"/>
    </row>
    <row r="5" spans="2:14" x14ac:dyDescent="0.25">
      <c r="C5" s="9"/>
      <c r="D5" s="9"/>
      <c r="F5">
        <v>3</v>
      </c>
      <c r="G5" s="8">
        <v>0</v>
      </c>
      <c r="H5" s="8">
        <v>0</v>
      </c>
      <c r="I5" s="8">
        <v>0</v>
      </c>
      <c r="M5" s="23"/>
      <c r="N5" s="20"/>
    </row>
    <row r="6" spans="2:14" x14ac:dyDescent="0.25">
      <c r="F6">
        <v>4</v>
      </c>
      <c r="G6" s="8">
        <v>0</v>
      </c>
      <c r="H6" s="8">
        <v>0</v>
      </c>
      <c r="I6" s="8">
        <v>0</v>
      </c>
      <c r="M6" s="23"/>
      <c r="N6" s="20"/>
    </row>
    <row r="7" spans="2:14" x14ac:dyDescent="0.25">
      <c r="F7">
        <v>5</v>
      </c>
      <c r="G7" s="8">
        <v>0</v>
      </c>
      <c r="H7" s="8">
        <v>0</v>
      </c>
      <c r="I7" s="8">
        <v>0</v>
      </c>
      <c r="M7" s="23"/>
      <c r="N7" s="20"/>
    </row>
    <row r="8" spans="2:14" x14ac:dyDescent="0.25">
      <c r="F8">
        <v>6</v>
      </c>
      <c r="G8" s="8">
        <v>0</v>
      </c>
      <c r="H8" s="8">
        <v>0</v>
      </c>
      <c r="I8" s="8">
        <v>0</v>
      </c>
      <c r="L8" s="20"/>
      <c r="M8" s="23"/>
      <c r="N8" s="20"/>
    </row>
    <row r="9" spans="2:14" x14ac:dyDescent="0.25">
      <c r="F9">
        <v>7</v>
      </c>
      <c r="G9" s="8">
        <v>2.63867869296E-2</v>
      </c>
      <c r="H9" s="8">
        <v>4.3977978216000004E-2</v>
      </c>
      <c r="I9" s="8">
        <v>5.4972472770000003E-2</v>
      </c>
      <c r="L9" s="20"/>
      <c r="M9" s="23"/>
      <c r="N9" s="20"/>
    </row>
    <row r="10" spans="2:14" x14ac:dyDescent="0.25">
      <c r="F10">
        <v>8</v>
      </c>
      <c r="G10" s="8">
        <v>0.11486694744000001</v>
      </c>
      <c r="H10" s="8">
        <v>0.19144491240000003</v>
      </c>
      <c r="I10" s="8">
        <v>0.23930614050000001</v>
      </c>
      <c r="L10" s="20"/>
      <c r="M10" s="23"/>
      <c r="N10" s="20"/>
    </row>
    <row r="11" spans="2:14" x14ac:dyDescent="0.25">
      <c r="F11">
        <v>9</v>
      </c>
      <c r="G11" s="8">
        <v>0.22023270571200004</v>
      </c>
      <c r="H11" s="8">
        <v>0.36705450952000007</v>
      </c>
      <c r="I11" s="8">
        <v>0.45881813690000006</v>
      </c>
      <c r="L11" s="20"/>
      <c r="M11" s="23"/>
      <c r="N11" s="20"/>
    </row>
    <row r="12" spans="2:14" x14ac:dyDescent="0.25">
      <c r="F12">
        <v>10</v>
      </c>
      <c r="G12" s="8">
        <v>0.31408976779199999</v>
      </c>
      <c r="H12" s="8">
        <v>0.52348294632000003</v>
      </c>
      <c r="I12" s="8">
        <v>0.65435368289999996</v>
      </c>
      <c r="L12" s="20"/>
      <c r="M12" s="23"/>
      <c r="N12" s="20"/>
    </row>
    <row r="13" spans="2:14" x14ac:dyDescent="0.25">
      <c r="F13">
        <v>11</v>
      </c>
      <c r="G13" s="8">
        <v>0.39466873099200001</v>
      </c>
      <c r="H13" s="8">
        <v>0.65778121832000003</v>
      </c>
      <c r="I13" s="8">
        <v>0.82222652289999998</v>
      </c>
      <c r="L13" s="20"/>
      <c r="M13" s="23"/>
      <c r="N13" s="20"/>
    </row>
    <row r="14" spans="2:14" x14ac:dyDescent="0.25">
      <c r="F14">
        <v>12</v>
      </c>
      <c r="G14" s="8">
        <v>0.4486968744960001</v>
      </c>
      <c r="H14" s="8">
        <v>0.74782812416000022</v>
      </c>
      <c r="I14" s="8">
        <v>0.93478515520000016</v>
      </c>
      <c r="L14" s="20"/>
      <c r="M14" s="23"/>
      <c r="N14" s="20"/>
    </row>
    <row r="15" spans="2:14" x14ac:dyDescent="0.25">
      <c r="F15">
        <v>13</v>
      </c>
      <c r="G15" s="8">
        <v>0.48</v>
      </c>
      <c r="H15" s="8">
        <v>0.8</v>
      </c>
      <c r="I15" s="8">
        <v>1</v>
      </c>
      <c r="L15" s="20"/>
      <c r="M15" s="23"/>
      <c r="N15" s="20"/>
    </row>
    <row r="16" spans="2:14" x14ac:dyDescent="0.25">
      <c r="F16">
        <v>14</v>
      </c>
      <c r="G16" s="8">
        <v>0.47232639508800001</v>
      </c>
      <c r="H16" s="8">
        <v>0.78721065848000005</v>
      </c>
      <c r="I16" s="8">
        <v>0.9840133231</v>
      </c>
      <c r="L16" s="20"/>
      <c r="M16" s="23"/>
      <c r="N16" s="20"/>
    </row>
    <row r="17" spans="6:14" x14ac:dyDescent="0.25">
      <c r="F17">
        <v>15</v>
      </c>
      <c r="G17" s="8">
        <v>0.43932671592</v>
      </c>
      <c r="H17" s="8">
        <v>0.73221119320000005</v>
      </c>
      <c r="I17" s="8">
        <v>0.91526399150000004</v>
      </c>
      <c r="L17" s="20"/>
      <c r="M17" s="23"/>
      <c r="N17" s="20"/>
    </row>
    <row r="18" spans="6:14" x14ac:dyDescent="0.25">
      <c r="F18">
        <v>16</v>
      </c>
      <c r="G18" s="8">
        <v>0.38355068217600002</v>
      </c>
      <c r="H18" s="8">
        <v>0.63925113696000002</v>
      </c>
      <c r="I18" s="8">
        <v>0.79906392120000003</v>
      </c>
      <c r="L18" s="20"/>
      <c r="M18" s="23"/>
      <c r="N18" s="20"/>
    </row>
    <row r="19" spans="6:14" x14ac:dyDescent="0.25">
      <c r="F19">
        <v>17</v>
      </c>
      <c r="G19" s="8">
        <v>0.301038039024</v>
      </c>
      <c r="H19" s="8">
        <v>0.50173006504000006</v>
      </c>
      <c r="I19" s="8">
        <v>0.62716258130000002</v>
      </c>
      <c r="L19" s="20"/>
      <c r="M19" s="23"/>
      <c r="N19" s="20"/>
    </row>
    <row r="20" spans="6:14" x14ac:dyDescent="0.25">
      <c r="F20">
        <v>18</v>
      </c>
      <c r="G20" s="8">
        <v>0.20203802376000002</v>
      </c>
      <c r="H20" s="8">
        <v>0.33673003960000003</v>
      </c>
      <c r="I20" s="8">
        <v>0.42091254950000001</v>
      </c>
      <c r="L20" s="20"/>
      <c r="M20" s="23"/>
      <c r="N20" s="20"/>
    </row>
    <row r="21" spans="6:14" x14ac:dyDescent="0.25">
      <c r="F21">
        <v>19</v>
      </c>
      <c r="G21" s="8">
        <v>9.8710329984000006E-2</v>
      </c>
      <c r="H21" s="8">
        <v>0.16451721664000002</v>
      </c>
      <c r="I21" s="8">
        <v>0.20564652080000001</v>
      </c>
      <c r="L21" s="20"/>
      <c r="M21" s="23"/>
      <c r="N21" s="20"/>
    </row>
    <row r="22" spans="6:14" x14ac:dyDescent="0.25">
      <c r="F22">
        <v>20</v>
      </c>
      <c r="G22" s="8">
        <v>1.49437283232E-2</v>
      </c>
      <c r="H22" s="8">
        <v>2.4906213872E-2</v>
      </c>
      <c r="I22" s="8">
        <v>3.1132767339999999E-2</v>
      </c>
      <c r="L22" s="20"/>
      <c r="M22" s="23"/>
      <c r="N22" s="20"/>
    </row>
    <row r="23" spans="6:14" x14ac:dyDescent="0.25">
      <c r="F23">
        <v>21</v>
      </c>
      <c r="G23" s="8">
        <v>0</v>
      </c>
      <c r="H23" s="8">
        <v>0</v>
      </c>
      <c r="I23" s="8">
        <v>0</v>
      </c>
      <c r="L23" s="20"/>
      <c r="M23" s="23"/>
      <c r="N23" s="20"/>
    </row>
    <row r="24" spans="6:14" x14ac:dyDescent="0.25">
      <c r="F24">
        <v>22</v>
      </c>
      <c r="G24" s="8">
        <v>0</v>
      </c>
      <c r="H24" s="8">
        <v>0</v>
      </c>
      <c r="I24" s="8">
        <v>0</v>
      </c>
      <c r="L24" s="20"/>
      <c r="M24" s="23"/>
      <c r="N24" s="20"/>
    </row>
    <row r="25" spans="6:14" x14ac:dyDescent="0.25">
      <c r="F25">
        <v>23</v>
      </c>
      <c r="G25" s="8">
        <v>0</v>
      </c>
      <c r="H25" s="8">
        <v>0</v>
      </c>
      <c r="I25" s="8">
        <v>0</v>
      </c>
      <c r="L25" s="20"/>
      <c r="M25" s="23"/>
      <c r="N25" s="20"/>
    </row>
    <row r="26" spans="6:14" x14ac:dyDescent="0.25">
      <c r="F26">
        <v>24</v>
      </c>
      <c r="G26" s="8">
        <v>0</v>
      </c>
      <c r="H26" s="8">
        <v>0</v>
      </c>
      <c r="I26" s="8">
        <v>0</v>
      </c>
      <c r="L26" s="20"/>
      <c r="M26" s="23"/>
      <c r="N26" s="20"/>
    </row>
    <row r="27" spans="6:14" x14ac:dyDescent="0.25">
      <c r="H27" s="2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58762-87BD-7A4D-9131-B7092163A33E}">
  <dimension ref="A1:R35"/>
  <sheetViews>
    <sheetView workbookViewId="0">
      <selection activeCell="R4" sqref="R4"/>
    </sheetView>
  </sheetViews>
  <sheetFormatPr defaultColWidth="11.42578125" defaultRowHeight="15" x14ac:dyDescent="0.25"/>
  <cols>
    <col min="3" max="3" width="12.5703125" bestFit="1" customWidth="1"/>
    <col min="4" max="4" width="13.5703125" bestFit="1" customWidth="1"/>
    <col min="5" max="5" width="12.5703125" bestFit="1" customWidth="1"/>
    <col min="6" max="6" width="11.7109375" bestFit="1" customWidth="1"/>
    <col min="7" max="7" width="12.5703125" bestFit="1" customWidth="1"/>
    <col min="8" max="9" width="11.7109375" bestFit="1" customWidth="1"/>
    <col min="10" max="10" width="12.5703125" bestFit="1" customWidth="1"/>
    <col min="11" max="11" width="11.7109375" bestFit="1" customWidth="1"/>
    <col min="12" max="12" width="12.5703125" bestFit="1" customWidth="1"/>
    <col min="13" max="13" width="11.7109375" bestFit="1" customWidth="1"/>
    <col min="14" max="15" width="12.5703125" bestFit="1" customWidth="1"/>
  </cols>
  <sheetData>
    <row r="1" spans="1:18" x14ac:dyDescent="0.25">
      <c r="B1" t="s">
        <v>6</v>
      </c>
      <c r="P1" t="s">
        <v>6</v>
      </c>
    </row>
    <row r="2" spans="1:18" x14ac:dyDescent="0.25">
      <c r="A2" t="s">
        <v>13</v>
      </c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 t="s">
        <v>14</v>
      </c>
    </row>
    <row r="3" spans="1:18" x14ac:dyDescent="0.25">
      <c r="A3">
        <v>1</v>
      </c>
      <c r="B3">
        <v>0</v>
      </c>
      <c r="C3" s="28">
        <v>16.484228132974785</v>
      </c>
      <c r="D3" s="28">
        <v>85.040924094620493</v>
      </c>
      <c r="E3" s="28">
        <v>42.564682845608942</v>
      </c>
      <c r="F3" s="28">
        <v>6.7157209758193721</v>
      </c>
      <c r="G3" s="28">
        <v>9.8578090691850964</v>
      </c>
      <c r="H3" s="28">
        <v>24.640201910714158</v>
      </c>
      <c r="I3" s="28">
        <v>8.2867650225022338</v>
      </c>
      <c r="J3" s="28">
        <v>25.97710669328746</v>
      </c>
      <c r="K3" s="28">
        <v>7.9241553980668167</v>
      </c>
      <c r="L3" s="28">
        <v>18.719064616565628</v>
      </c>
      <c r="M3" s="28">
        <v>5.3764457691833094</v>
      </c>
      <c r="N3" s="28">
        <v>11.898691456389292</v>
      </c>
      <c r="O3" s="28">
        <v>13.798175732007593</v>
      </c>
      <c r="P3" s="28">
        <f>SUM(B3:O3)</f>
        <v>277.28397171692518</v>
      </c>
      <c r="R3" s="27"/>
    </row>
    <row r="4" spans="1:18" x14ac:dyDescent="0.25">
      <c r="A4">
        <v>2</v>
      </c>
      <c r="B4">
        <v>0</v>
      </c>
      <c r="C4" s="28">
        <v>15.904796584463053</v>
      </c>
      <c r="D4" s="28">
        <v>82.05167922749537</v>
      </c>
      <c r="E4" s="28">
        <v>41.068506021666195</v>
      </c>
      <c r="F4" s="28">
        <v>6.4796589307541481</v>
      </c>
      <c r="G4" s="28">
        <v>9.511300544320358</v>
      </c>
      <c r="H4" s="28">
        <v>23.774082476210172</v>
      </c>
      <c r="I4" s="28">
        <v>7.9954797375372531</v>
      </c>
      <c r="J4" s="28">
        <v>25.063994169259946</v>
      </c>
      <c r="K4" s="28">
        <v>7.6456160818239969</v>
      </c>
      <c r="L4" s="28">
        <v>18.061077083878502</v>
      </c>
      <c r="M4" s="28">
        <v>5.1874601356190988</v>
      </c>
      <c r="N4" s="28">
        <v>11.480444562435711</v>
      </c>
      <c r="O4" s="28">
        <v>13.31316070633946</v>
      </c>
      <c r="P4" s="28">
        <f t="shared" ref="P4:P26" si="0">SUM(B4:O4)</f>
        <v>267.53725626180324</v>
      </c>
      <c r="R4" s="27"/>
    </row>
    <row r="5" spans="1:18" x14ac:dyDescent="0.25">
      <c r="A5">
        <v>3</v>
      </c>
      <c r="B5">
        <v>0</v>
      </c>
      <c r="C5" s="28">
        <v>14.849700088602059</v>
      </c>
      <c r="D5" s="28">
        <v>76.608513779091538</v>
      </c>
      <c r="E5" s="28">
        <v>38.344092882296962</v>
      </c>
      <c r="F5" s="28">
        <v>6.0498096462375743</v>
      </c>
      <c r="G5" s="28">
        <v>8.8803374369269328</v>
      </c>
      <c r="H5" s="28">
        <v>22.19695126426727</v>
      </c>
      <c r="I5" s="28">
        <v>7.4650735415822531</v>
      </c>
      <c r="J5" s="28">
        <v>23.401292462901765</v>
      </c>
      <c r="K5" s="28">
        <v>7.1384192312518095</v>
      </c>
      <c r="L5" s="28">
        <v>16.862936696387415</v>
      </c>
      <c r="M5" s="28">
        <v>4.8433330678855206</v>
      </c>
      <c r="N5" s="28">
        <v>10.718851871549923</v>
      </c>
      <c r="O5" s="28">
        <v>12.429988819450015</v>
      </c>
      <c r="P5" s="28">
        <f t="shared" si="0"/>
        <v>249.78930078843106</v>
      </c>
      <c r="R5" s="27"/>
    </row>
    <row r="6" spans="1:18" x14ac:dyDescent="0.25">
      <c r="A6">
        <v>4</v>
      </c>
      <c r="B6">
        <v>0</v>
      </c>
      <c r="C6" s="28">
        <v>14.137115006975439</v>
      </c>
      <c r="D6" s="28">
        <v>72.932339599219119</v>
      </c>
      <c r="E6" s="28">
        <v>36.504094202633219</v>
      </c>
      <c r="F6" s="28">
        <v>5.7595004767009685</v>
      </c>
      <c r="G6" s="28">
        <v>8.4542011554122904</v>
      </c>
      <c r="H6" s="28">
        <v>21.131797339667095</v>
      </c>
      <c r="I6" s="28">
        <v>7.1068508160566299</v>
      </c>
      <c r="J6" s="28">
        <v>22.278346423564269</v>
      </c>
      <c r="K6" s="28">
        <v>6.795871501652142</v>
      </c>
      <c r="L6" s="28">
        <v>16.053743443287111</v>
      </c>
      <c r="M6" s="28">
        <v>4.6109184824776195</v>
      </c>
      <c r="N6" s="28">
        <v>10.204491723516043</v>
      </c>
      <c r="O6" s="28">
        <v>11.833517204220268</v>
      </c>
      <c r="P6" s="28">
        <f t="shared" si="0"/>
        <v>237.8027873753822</v>
      </c>
      <c r="R6" s="27"/>
    </row>
    <row r="7" spans="1:18" x14ac:dyDescent="0.25">
      <c r="A7">
        <v>5</v>
      </c>
      <c r="B7">
        <v>0</v>
      </c>
      <c r="C7" s="28">
        <v>12.095986107039082</v>
      </c>
      <c r="D7" s="28">
        <v>62.402305287233446</v>
      </c>
      <c r="E7" s="28">
        <v>31.233601488509446</v>
      </c>
      <c r="F7" s="28">
        <v>4.9279388132080229</v>
      </c>
      <c r="G7" s="28">
        <v>7.2335762757481596</v>
      </c>
      <c r="H7" s="28">
        <v>18.080770150858733</v>
      </c>
      <c r="I7" s="28">
        <v>6.0807575444780912</v>
      </c>
      <c r="J7" s="28">
        <v>19.061779485720596</v>
      </c>
      <c r="K7" s="28">
        <v>5.8146776926301582</v>
      </c>
      <c r="L7" s="28">
        <v>13.73589007093433</v>
      </c>
      <c r="M7" s="28">
        <v>3.9451900813723007</v>
      </c>
      <c r="N7" s="28">
        <v>8.7311583768075511</v>
      </c>
      <c r="O7" s="28">
        <v>10.124983748737286</v>
      </c>
      <c r="P7" s="28">
        <f t="shared" si="0"/>
        <v>203.4686151232772</v>
      </c>
      <c r="R7" s="27"/>
    </row>
    <row r="8" spans="1:18" x14ac:dyDescent="0.25">
      <c r="A8">
        <v>6</v>
      </c>
      <c r="B8">
        <v>0</v>
      </c>
      <c r="C8" s="28">
        <v>12.072137235259399</v>
      </c>
      <c r="D8" s="28">
        <v>62.279270706639331</v>
      </c>
      <c r="E8" s="28">
        <v>31.172020220928157</v>
      </c>
      <c r="F8" s="28">
        <v>4.9182227156650606</v>
      </c>
      <c r="G8" s="28">
        <v>7.2193143022651975</v>
      </c>
      <c r="H8" s="28">
        <v>18.04512146829661</v>
      </c>
      <c r="I8" s="28">
        <v>6.0687685089651291</v>
      </c>
      <c r="J8" s="28">
        <v>19.024196610639169</v>
      </c>
      <c r="K8" s="28">
        <v>5.8032132695145418</v>
      </c>
      <c r="L8" s="28">
        <v>13.708807906802967</v>
      </c>
      <c r="M8" s="28">
        <v>3.9374116058049085</v>
      </c>
      <c r="N8" s="28">
        <v>8.7139437177649626</v>
      </c>
      <c r="O8" s="28">
        <v>10.105020974552676</v>
      </c>
      <c r="P8" s="28">
        <f t="shared" si="0"/>
        <v>203.06744924309808</v>
      </c>
      <c r="R8" s="27"/>
    </row>
    <row r="9" spans="1:18" x14ac:dyDescent="0.25">
      <c r="A9">
        <v>7</v>
      </c>
      <c r="B9">
        <v>0</v>
      </c>
      <c r="C9" s="28">
        <v>12.265634816353359</v>
      </c>
      <c r="D9" s="28">
        <v>63.277510537680456</v>
      </c>
      <c r="E9" s="28">
        <v>31.67165921550027</v>
      </c>
      <c r="F9" s="28">
        <v>4.9970541752663484</v>
      </c>
      <c r="G9" s="28">
        <v>7.3350286805415914</v>
      </c>
      <c r="H9" s="28">
        <v>18.33435669538331</v>
      </c>
      <c r="I9" s="28">
        <v>6.1660414279039699</v>
      </c>
      <c r="J9" s="28">
        <v>19.329124889259379</v>
      </c>
      <c r="K9" s="28">
        <v>5.8962297510488746</v>
      </c>
      <c r="L9" s="28">
        <v>13.928538772842209</v>
      </c>
      <c r="M9" s="28">
        <v>4.0005221890137621</v>
      </c>
      <c r="N9" s="28">
        <v>8.8536146806042275</v>
      </c>
      <c r="O9" s="28">
        <v>10.266988741930998</v>
      </c>
      <c r="P9" s="28">
        <f t="shared" si="0"/>
        <v>206.32230457332878</v>
      </c>
      <c r="R9" s="27"/>
    </row>
    <row r="10" spans="1:18" x14ac:dyDescent="0.25">
      <c r="A10">
        <v>8</v>
      </c>
      <c r="B10">
        <v>0</v>
      </c>
      <c r="C10" s="28">
        <v>14.09996358662168</v>
      </c>
      <c r="D10" s="28">
        <v>72.740678146051579</v>
      </c>
      <c r="E10" s="28">
        <v>36.408163813180629</v>
      </c>
      <c r="F10" s="28">
        <v>5.7443648833969592</v>
      </c>
      <c r="G10" s="28">
        <v>8.4319840636842418</v>
      </c>
      <c r="H10" s="28">
        <v>21.076264348288795</v>
      </c>
      <c r="I10" s="28">
        <v>7.0881744735406009</v>
      </c>
      <c r="J10" s="28">
        <v>22.219800375635813</v>
      </c>
      <c r="K10" s="28">
        <v>6.7780123925833236</v>
      </c>
      <c r="L10" s="28">
        <v>16.011555247844218</v>
      </c>
      <c r="M10" s="28">
        <v>4.5988012880801117</v>
      </c>
      <c r="N10" s="28">
        <v>10.177674981816642</v>
      </c>
      <c r="O10" s="28">
        <v>11.802419489325787</v>
      </c>
      <c r="P10" s="28">
        <f t="shared" si="0"/>
        <v>237.17785709005037</v>
      </c>
      <c r="R10" s="27"/>
    </row>
    <row r="11" spans="1:18" x14ac:dyDescent="0.25">
      <c r="A11">
        <v>9</v>
      </c>
      <c r="B11">
        <v>0</v>
      </c>
      <c r="C11" s="28">
        <v>16.706205108408177</v>
      </c>
      <c r="D11" s="28">
        <v>86.186087032569844</v>
      </c>
      <c r="E11" s="28">
        <v>43.137859792817622</v>
      </c>
      <c r="F11" s="28">
        <v>6.8061550208981911</v>
      </c>
      <c r="G11" s="28">
        <v>9.9905545410340526</v>
      </c>
      <c r="H11" s="28">
        <v>24.972007406857905</v>
      </c>
      <c r="I11" s="28">
        <v>8.3983547809661214</v>
      </c>
      <c r="J11" s="28">
        <v>26.326914978380998</v>
      </c>
      <c r="K11" s="28">
        <v>8.0308622474223181</v>
      </c>
      <c r="L11" s="28">
        <v>18.971135948811721</v>
      </c>
      <c r="M11" s="28">
        <v>5.4488451051302338</v>
      </c>
      <c r="N11" s="28">
        <v>12.058919494960353</v>
      </c>
      <c r="O11" s="28">
        <v>13.983982267247335</v>
      </c>
      <c r="P11" s="28">
        <f t="shared" si="0"/>
        <v>281.01788372550482</v>
      </c>
      <c r="R11" s="27"/>
    </row>
    <row r="12" spans="1:18" x14ac:dyDescent="0.25">
      <c r="A12">
        <v>10</v>
      </c>
      <c r="B12">
        <v>0</v>
      </c>
      <c r="C12" s="24">
        <v>17.75833410035878</v>
      </c>
      <c r="D12" s="28">
        <v>91.613943345916937</v>
      </c>
      <c r="E12" s="28">
        <v>45.854610403995075</v>
      </c>
      <c r="F12" s="28">
        <v>7.2347953359625068</v>
      </c>
      <c r="G12" s="28">
        <v>10.619743037767842</v>
      </c>
      <c r="H12" s="28">
        <v>26.544702869978792</v>
      </c>
      <c r="I12" s="28">
        <v>8.9272691868651748</v>
      </c>
      <c r="J12" s="28">
        <v>27.984940265250742</v>
      </c>
      <c r="K12" s="28">
        <v>8.5366325852126774</v>
      </c>
      <c r="L12" s="28">
        <v>20.165906515344233</v>
      </c>
      <c r="M12" s="28">
        <v>5.7920043008036011</v>
      </c>
      <c r="N12" s="28">
        <v>12.81837017390961</v>
      </c>
      <c r="O12" s="28">
        <v>14.864670195524301</v>
      </c>
      <c r="P12" s="28">
        <f t="shared" si="0"/>
        <v>298.71592231689033</v>
      </c>
      <c r="R12" s="27"/>
    </row>
    <row r="13" spans="1:18" x14ac:dyDescent="0.25">
      <c r="A13">
        <v>11</v>
      </c>
      <c r="B13">
        <v>0</v>
      </c>
      <c r="C13" s="24">
        <v>19.136558799901668</v>
      </c>
      <c r="D13" s="28">
        <v>98.724103501047395</v>
      </c>
      <c r="E13" s="28">
        <v>49.413387724522309</v>
      </c>
      <c r="F13" s="28">
        <v>7.7962879608793765</v>
      </c>
      <c r="G13" s="28">
        <v>11.443941528163094</v>
      </c>
      <c r="H13" s="28">
        <v>28.604837842700842</v>
      </c>
      <c r="I13" s="28">
        <v>9.6201147445212349</v>
      </c>
      <c r="J13" s="28">
        <v>30.156852093850791</v>
      </c>
      <c r="K13" s="28">
        <v>9.1991608276352057</v>
      </c>
      <c r="L13" s="28">
        <v>21.730982962889993</v>
      </c>
      <c r="M13" s="28">
        <v>6.241521881794764</v>
      </c>
      <c r="N13" s="28">
        <v>13.813204164627757</v>
      </c>
      <c r="O13" s="28">
        <v>16.018317575861438</v>
      </c>
      <c r="P13" s="28">
        <f t="shared" si="0"/>
        <v>321.89927160839579</v>
      </c>
      <c r="R13" s="27"/>
    </row>
    <row r="14" spans="1:18" x14ac:dyDescent="0.25">
      <c r="A14">
        <v>12</v>
      </c>
      <c r="B14">
        <v>0</v>
      </c>
      <c r="C14" s="24">
        <v>19.723609182624852</v>
      </c>
      <c r="D14" s="28">
        <v>101.75265337515491</v>
      </c>
      <c r="E14" s="28">
        <v>50.929237490336995</v>
      </c>
      <c r="F14" s="28">
        <v>8.0354539404638512</v>
      </c>
      <c r="G14" s="28">
        <v>11.795006227110139</v>
      </c>
      <c r="H14" s="28">
        <v>29.482345715400424</v>
      </c>
      <c r="I14" s="28">
        <v>9.9152300837869944</v>
      </c>
      <c r="J14" s="28">
        <v>31.081970959187885</v>
      </c>
      <c r="K14" s="28">
        <v>9.4813626038826211</v>
      </c>
      <c r="L14" s="28">
        <v>22.397622247345936</v>
      </c>
      <c r="M14" s="28">
        <v>6.4329924511795573</v>
      </c>
      <c r="N14" s="28">
        <v>14.236950506708856</v>
      </c>
      <c r="O14" s="28">
        <v>16.509709971005087</v>
      </c>
      <c r="P14" s="28">
        <f t="shared" si="0"/>
        <v>331.774144754188</v>
      </c>
      <c r="R14" s="27"/>
    </row>
    <row r="15" spans="1:18" x14ac:dyDescent="0.25">
      <c r="A15">
        <v>13</v>
      </c>
      <c r="B15">
        <v>0</v>
      </c>
      <c r="C15" s="24">
        <v>20</v>
      </c>
      <c r="D15" s="28">
        <v>103.17853333333335</v>
      </c>
      <c r="E15" s="28">
        <v>51.642918918918916</v>
      </c>
      <c r="F15" s="28">
        <v>8.1480563380281694</v>
      </c>
      <c r="G15" s="28">
        <v>11.960291970802921</v>
      </c>
      <c r="H15" s="28">
        <v>29.895487628473543</v>
      </c>
      <c r="I15" s="28">
        <v>10.054174154415545</v>
      </c>
      <c r="J15" s="28">
        <v>31.517528735632187</v>
      </c>
      <c r="K15" s="28">
        <v>9.614226804123712</v>
      </c>
      <c r="L15" s="28">
        <v>22.71148453608248</v>
      </c>
      <c r="M15" s="28">
        <v>6.5231392405063291</v>
      </c>
      <c r="N15" s="28">
        <v>14.436455696202533</v>
      </c>
      <c r="O15" s="28">
        <v>16.741063786184743</v>
      </c>
      <c r="P15" s="28">
        <f t="shared" si="0"/>
        <v>336.42336114270438</v>
      </c>
      <c r="R15" s="27"/>
    </row>
    <row r="16" spans="1:18" x14ac:dyDescent="0.25">
      <c r="A16">
        <v>14</v>
      </c>
      <c r="B16">
        <v>0</v>
      </c>
      <c r="C16" s="24">
        <v>19.948646496498835</v>
      </c>
      <c r="D16" s="28">
        <v>102.91360437469443</v>
      </c>
      <c r="E16" s="28">
        <v>51.510316678043267</v>
      </c>
      <c r="F16" s="28">
        <v>8.1271347760440396</v>
      </c>
      <c r="G16" s="28">
        <v>11.929581826023043</v>
      </c>
      <c r="H16" s="28">
        <v>29.818725727043653</v>
      </c>
      <c r="I16" s="28">
        <v>10.028358301033542</v>
      </c>
      <c r="J16" s="28">
        <v>31.436601959518519</v>
      </c>
      <c r="K16" s="28">
        <v>9.5895405926313853</v>
      </c>
      <c r="L16" s="28">
        <v>22.653168821050464</v>
      </c>
      <c r="M16" s="28">
        <v>6.5063899378150332</v>
      </c>
      <c r="N16" s="28">
        <v>14.399387567295566</v>
      </c>
      <c r="O16" s="28">
        <v>16.698078172296892</v>
      </c>
      <c r="P16" s="28">
        <f t="shared" si="0"/>
        <v>335.55953522998868</v>
      </c>
      <c r="R16" s="27"/>
    </row>
    <row r="17" spans="1:18" x14ac:dyDescent="0.25">
      <c r="A17">
        <v>15</v>
      </c>
      <c r="B17">
        <v>0</v>
      </c>
      <c r="C17" s="24">
        <v>19.564346737001379</v>
      </c>
      <c r="D17" s="28">
        <v>100.93103009742943</v>
      </c>
      <c r="E17" s="28">
        <v>50.517998612028912</v>
      </c>
      <c r="F17" s="28">
        <v>7.9705699714902423</v>
      </c>
      <c r="G17" s="28">
        <v>11.699764959628096</v>
      </c>
      <c r="H17" s="28">
        <v>29.244284291759577</v>
      </c>
      <c r="I17" s="28">
        <v>9.8351674655591701</v>
      </c>
      <c r="J17" s="28">
        <v>30.830993023865641</v>
      </c>
      <c r="K17" s="28">
        <v>9.4048033402024487</v>
      </c>
      <c r="L17" s="28">
        <v>22.21676791879813</v>
      </c>
      <c r="M17" s="28">
        <v>6.3810478957502834</v>
      </c>
      <c r="N17" s="28">
        <v>14.121991244693252</v>
      </c>
      <c r="O17" s="28">
        <v>16.376398832958774</v>
      </c>
      <c r="P17" s="28">
        <f t="shared" si="0"/>
        <v>329.09516439116544</v>
      </c>
      <c r="R17" s="27"/>
    </row>
    <row r="18" spans="1:18" x14ac:dyDescent="0.25">
      <c r="A18">
        <v>16</v>
      </c>
      <c r="B18">
        <v>0</v>
      </c>
      <c r="C18" s="24">
        <v>19.389462480063809</v>
      </c>
      <c r="D18" s="28">
        <v>100.028815040734</v>
      </c>
      <c r="E18" s="28">
        <v>50.066421936967785</v>
      </c>
      <c r="F18" s="28">
        <v>7.8993216325821649</v>
      </c>
      <c r="G18" s="28">
        <v>11.595181620924583</v>
      </c>
      <c r="H18" s="28">
        <v>28.982871784774975</v>
      </c>
      <c r="I18" s="28">
        <v>9.7472516267533749</v>
      </c>
      <c r="J18" s="28">
        <v>30.555397044193661</v>
      </c>
      <c r="K18" s="28">
        <v>9.3207344946690238</v>
      </c>
      <c r="L18" s="28">
        <v>22.018173863946032</v>
      </c>
      <c r="M18" s="28">
        <v>6.3240081778014696</v>
      </c>
      <c r="N18" s="28">
        <v>13.995755803331122</v>
      </c>
      <c r="O18" s="28">
        <v>16.230011407929201</v>
      </c>
      <c r="P18" s="28">
        <f t="shared" si="0"/>
        <v>326.15340691467128</v>
      </c>
      <c r="R18" s="27"/>
    </row>
    <row r="19" spans="1:18" x14ac:dyDescent="0.25">
      <c r="A19">
        <v>17</v>
      </c>
      <c r="B19">
        <v>0</v>
      </c>
      <c r="C19" s="24">
        <v>19.145658184874282</v>
      </c>
      <c r="D19" s="28">
        <v>98.771046560832886</v>
      </c>
      <c r="E19" s="28">
        <v>49.436883664539948</v>
      </c>
      <c r="F19" s="28">
        <v>7.7999950759492904</v>
      </c>
      <c r="G19" s="28">
        <v>11.449383093214456</v>
      </c>
      <c r="H19" s="28">
        <v>28.618439370244619</v>
      </c>
      <c r="I19" s="28">
        <v>9.624689084581874</v>
      </c>
      <c r="J19" s="28">
        <v>30.171191600218339</v>
      </c>
      <c r="K19" s="28">
        <v>9.2035350051804432</v>
      </c>
      <c r="L19" s="28">
        <v>21.741315989944663</v>
      </c>
      <c r="M19" s="28">
        <v>6.2444897095537311</v>
      </c>
      <c r="N19" s="28">
        <v>13.81977230802875</v>
      </c>
      <c r="O19" s="28">
        <v>16.025934245073518</v>
      </c>
      <c r="P19" s="28">
        <f t="shared" si="0"/>
        <v>322.05233389223679</v>
      </c>
      <c r="R19" s="27"/>
    </row>
    <row r="20" spans="1:18" x14ac:dyDescent="0.25">
      <c r="A20">
        <v>18</v>
      </c>
      <c r="B20">
        <v>0</v>
      </c>
      <c r="C20" s="24">
        <v>18.517728595087853</v>
      </c>
      <c r="D20" s="28">
        <v>95.531603855294605</v>
      </c>
      <c r="E20" s="28">
        <v>47.815477819933413</v>
      </c>
      <c r="F20" s="28">
        <v>7.5441747922545526</v>
      </c>
      <c r="G20" s="28">
        <v>11.073872031666845</v>
      </c>
      <c r="H20" s="28">
        <v>27.679826306093982</v>
      </c>
      <c r="I20" s="28">
        <v>9.3090234119606983</v>
      </c>
      <c r="J20" s="28">
        <v>29.181652155715962</v>
      </c>
      <c r="K20" s="28">
        <v>8.9016821305190881</v>
      </c>
      <c r="L20" s="28">
        <v>21.028255331535505</v>
      </c>
      <c r="M20" s="28">
        <v>6.0396861021831851</v>
      </c>
      <c r="N20" s="28">
        <v>13.366518422864427</v>
      </c>
      <c r="O20" s="28">
        <v>15.500323779281146</v>
      </c>
      <c r="P20" s="28">
        <f t="shared" si="0"/>
        <v>311.48982473439122</v>
      </c>
      <c r="R20" s="27"/>
    </row>
    <row r="21" spans="1:18" x14ac:dyDescent="0.25">
      <c r="A21">
        <v>19</v>
      </c>
      <c r="B21">
        <v>0</v>
      </c>
      <c r="C21" s="24">
        <v>17.689394854964149</v>
      </c>
      <c r="D21" s="28">
        <v>91.258290834470699</v>
      </c>
      <c r="E21" s="28">
        <v>45.676599210982758</v>
      </c>
      <c r="F21" s="28">
        <v>7.2067092931936774</v>
      </c>
      <c r="G21" s="28">
        <v>10.578516362609511</v>
      </c>
      <c r="H21" s="28">
        <v>26.441654252088217</v>
      </c>
      <c r="I21" s="28">
        <v>8.8926128279015941</v>
      </c>
      <c r="J21" s="28">
        <v>27.876300532863841</v>
      </c>
      <c r="K21" s="28">
        <v>8.5034927081662204</v>
      </c>
      <c r="L21" s="28">
        <v>20.087620885058765</v>
      </c>
      <c r="M21" s="28">
        <v>5.7695192859613709</v>
      </c>
      <c r="N21" s="28">
        <v>12.768608255816149</v>
      </c>
      <c r="O21" s="28">
        <v>14.806964380298153</v>
      </c>
      <c r="P21" s="28">
        <f t="shared" si="0"/>
        <v>297.55628368437516</v>
      </c>
      <c r="R21" s="27"/>
    </row>
    <row r="22" spans="1:18" x14ac:dyDescent="0.25">
      <c r="A22">
        <v>20</v>
      </c>
      <c r="B22">
        <v>0</v>
      </c>
      <c r="C22" s="24">
        <v>17.642080454008934</v>
      </c>
      <c r="D22" s="28">
        <v>91.014199309665486</v>
      </c>
      <c r="E22" s="28">
        <v>45.554426522371379</v>
      </c>
      <c r="F22" s="28">
        <v>7.1874332729645189</v>
      </c>
      <c r="G22" s="28">
        <v>10.55022166011711</v>
      </c>
      <c r="H22" s="28">
        <v>26.370929897667949</v>
      </c>
      <c r="I22" s="28">
        <v>8.8688274665408144</v>
      </c>
      <c r="J22" s="28">
        <v>27.801738883278077</v>
      </c>
      <c r="K22" s="28">
        <v>8.4807481390719861</v>
      </c>
      <c r="L22" s="28">
        <v>20.033891870777346</v>
      </c>
      <c r="M22" s="28">
        <v>5.7540873646857698</v>
      </c>
      <c r="N22" s="28">
        <v>12.734455643157032</v>
      </c>
      <c r="O22" s="28">
        <v>14.767359710078333</v>
      </c>
      <c r="P22" s="28">
        <f t="shared" si="0"/>
        <v>296.76040019438466</v>
      </c>
      <c r="R22" s="27"/>
    </row>
    <row r="23" spans="1:18" x14ac:dyDescent="0.25">
      <c r="A23">
        <v>21</v>
      </c>
      <c r="B23">
        <v>0</v>
      </c>
      <c r="C23" s="24">
        <v>17.93271256914624</v>
      </c>
      <c r="D23" s="28">
        <v>92.513549078637055</v>
      </c>
      <c r="E23" s="28">
        <v>46.304881060234869</v>
      </c>
      <c r="F23" s="28">
        <v>7.3058376153534716</v>
      </c>
      <c r="G23" s="28">
        <v>10.724023907773818</v>
      </c>
      <c r="H23" s="28">
        <v>26.805359337794172</v>
      </c>
      <c r="I23" s="28">
        <v>9.0149307615636438</v>
      </c>
      <c r="J23" s="28">
        <v>28.259739185294954</v>
      </c>
      <c r="K23" s="28">
        <v>8.6204582926465978</v>
      </c>
      <c r="L23" s="28">
        <v>20.363926210208835</v>
      </c>
      <c r="M23" s="28">
        <v>5.8488790524259446</v>
      </c>
      <c r="N23" s="28">
        <v>12.944240525860698</v>
      </c>
      <c r="O23" s="28">
        <v>15.010634248969703</v>
      </c>
      <c r="P23" s="28">
        <f t="shared" si="0"/>
        <v>301.64917184591008</v>
      </c>
      <c r="R23" s="27"/>
    </row>
    <row r="24" spans="1:18" x14ac:dyDescent="0.25">
      <c r="A24">
        <v>22</v>
      </c>
      <c r="B24">
        <v>0</v>
      </c>
      <c r="C24" s="24">
        <v>17.761300003677288</v>
      </c>
      <c r="D24" s="28">
        <v>91.629244223637542</v>
      </c>
      <c r="E24" s="28">
        <v>45.862268799225021</v>
      </c>
      <c r="F24" s="28">
        <v>7.2360036533291234</v>
      </c>
      <c r="G24" s="28">
        <v>10.621516691250166</v>
      </c>
      <c r="H24" s="28">
        <v>26.549136226277071</v>
      </c>
      <c r="I24" s="28">
        <v>8.9287601722896444</v>
      </c>
      <c r="J24" s="28">
        <v>27.989614162404148</v>
      </c>
      <c r="K24" s="28">
        <v>8.5380583285718377</v>
      </c>
      <c r="L24" s="28">
        <v>20.169274518711919</v>
      </c>
      <c r="M24" s="28">
        <v>5.7929716508196263</v>
      </c>
      <c r="N24" s="28">
        <v>12.820511030502452</v>
      </c>
      <c r="O24" s="28">
        <v>14.867152814356238</v>
      </c>
      <c r="P24" s="28">
        <f t="shared" si="0"/>
        <v>298.76581227505221</v>
      </c>
      <c r="R24" s="27"/>
    </row>
    <row r="25" spans="1:18" x14ac:dyDescent="0.25">
      <c r="A25">
        <v>23</v>
      </c>
      <c r="B25">
        <v>0</v>
      </c>
      <c r="C25" s="24">
        <v>17.739482287486993</v>
      </c>
      <c r="D25" s="28">
        <v>91.516688225777671</v>
      </c>
      <c r="E25" s="28">
        <v>45.805932271814456</v>
      </c>
      <c r="F25" s="28">
        <v>7.2271150542948428</v>
      </c>
      <c r="G25" s="28">
        <v>10.608469378461566</v>
      </c>
      <c r="H25" s="28">
        <v>26.516523663054649</v>
      </c>
      <c r="I25" s="28">
        <v>8.9177922163782046</v>
      </c>
      <c r="J25" s="28">
        <v>27.955232137555477</v>
      </c>
      <c r="K25" s="28">
        <v>8.5275703049817633</v>
      </c>
      <c r="L25" s="28">
        <v>20.144498882518498</v>
      </c>
      <c r="M25" s="28">
        <v>5.7858556507886689</v>
      </c>
      <c r="N25" s="28">
        <v>12.804762505843778</v>
      </c>
      <c r="O25" s="28">
        <v>14.84889022543571</v>
      </c>
      <c r="P25" s="28">
        <f t="shared" si="0"/>
        <v>298.39881280439226</v>
      </c>
      <c r="R25" s="27"/>
    </row>
    <row r="26" spans="1:18" x14ac:dyDescent="0.25">
      <c r="A26">
        <v>24</v>
      </c>
      <c r="B26">
        <v>0</v>
      </c>
      <c r="C26" s="24">
        <v>17.193051815364214</v>
      </c>
      <c r="D26" s="28">
        <v>88.697693491664211</v>
      </c>
      <c r="E26" s="28">
        <v>44.394969043481289</v>
      </c>
      <c r="F26" s="28">
        <v>7.0044977407112556</v>
      </c>
      <c r="G26" s="28">
        <v>10.28169597904496</v>
      </c>
      <c r="H26" s="28">
        <v>25.699733392096274</v>
      </c>
      <c r="I26" s="28">
        <v>8.6430968598781082</v>
      </c>
      <c r="J26" s="28">
        <v>27.09412523219774</v>
      </c>
      <c r="K26" s="28">
        <v>8.2648949803981235</v>
      </c>
      <c r="L26" s="28">
        <v>19.523986521635461</v>
      </c>
      <c r="M26" s="28">
        <v>5.6076335480430446</v>
      </c>
      <c r="N26" s="28">
        <v>12.410336540751</v>
      </c>
      <c r="O26" s="28">
        <v>14.391498856009585</v>
      </c>
      <c r="P26" s="28">
        <f t="shared" si="0"/>
        <v>289.2072140012753</v>
      </c>
      <c r="R26" s="27"/>
    </row>
    <row r="27" spans="1:18" x14ac:dyDescent="0.25">
      <c r="C27" s="24"/>
      <c r="P27">
        <f>MAX(P3:P26)</f>
        <v>336.42336114270438</v>
      </c>
    </row>
    <row r="28" spans="1:18" x14ac:dyDescent="0.25">
      <c r="C28" s="24"/>
    </row>
    <row r="29" spans="1:18" x14ac:dyDescent="0.25">
      <c r="C29" s="24"/>
    </row>
    <row r="30" spans="1:18" x14ac:dyDescent="0.25">
      <c r="C30" s="24"/>
    </row>
    <row r="31" spans="1:18" x14ac:dyDescent="0.25">
      <c r="C31" s="24"/>
    </row>
    <row r="32" spans="1:18" x14ac:dyDescent="0.25">
      <c r="C32" s="24"/>
    </row>
    <row r="33" spans="3:3" x14ac:dyDescent="0.25">
      <c r="C33" s="24"/>
    </row>
    <row r="34" spans="3:3" x14ac:dyDescent="0.25">
      <c r="C34" s="24"/>
    </row>
    <row r="35" spans="3:3" x14ac:dyDescent="0.25">
      <c r="C35" s="2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F7C59-BEC5-4B72-AC8D-1C0534F23124}">
  <dimension ref="A2:D3"/>
  <sheetViews>
    <sheetView workbookViewId="0">
      <selection activeCell="D11" sqref="D11"/>
    </sheetView>
  </sheetViews>
  <sheetFormatPr defaultColWidth="11.42578125" defaultRowHeight="15" x14ac:dyDescent="0.25"/>
  <cols>
    <col min="3" max="3" width="19.28515625" bestFit="1" customWidth="1"/>
  </cols>
  <sheetData>
    <row r="2" spans="1:4" x14ac:dyDescent="0.25">
      <c r="A2" t="s">
        <v>32</v>
      </c>
      <c r="B2" t="s">
        <v>29</v>
      </c>
      <c r="C2" t="s">
        <v>30</v>
      </c>
      <c r="D2" t="s">
        <v>31</v>
      </c>
    </row>
    <row r="3" spans="1:4" x14ac:dyDescent="0.25">
      <c r="A3">
        <v>5</v>
      </c>
      <c r="B3">
        <v>100</v>
      </c>
      <c r="C3">
        <v>4</v>
      </c>
      <c r="D3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23</vt:i4>
      </vt:variant>
    </vt:vector>
  </HeadingPairs>
  <TitlesOfParts>
    <vt:vector size="30" baseType="lpstr">
      <vt:lpstr>GenConv</vt:lpstr>
      <vt:lpstr>Afluente</vt:lpstr>
      <vt:lpstr>GenEol</vt:lpstr>
      <vt:lpstr>Lineas</vt:lpstr>
      <vt:lpstr>GenSol</vt:lpstr>
      <vt:lpstr>Demanda</vt:lpstr>
      <vt:lpstr>BESS</vt:lpstr>
      <vt:lpstr>Afluentes</vt:lpstr>
      <vt:lpstr>Almacenamiento</vt:lpstr>
      <vt:lpstr>Barra_BESS</vt:lpstr>
      <vt:lpstr>Barra_destino</vt:lpstr>
      <vt:lpstr>Barra_gen_conv</vt:lpstr>
      <vt:lpstr>Barra_gen_eol</vt:lpstr>
      <vt:lpstr>Barra_gen_hid</vt:lpstr>
      <vt:lpstr>Barra_gen_sol</vt:lpstr>
      <vt:lpstr>Barra_origen</vt:lpstr>
      <vt:lpstr>Capacidad_linea</vt:lpstr>
      <vt:lpstr>Costos_variables_conv</vt:lpstr>
      <vt:lpstr>Curva_eol</vt:lpstr>
      <vt:lpstr>Curva_sol</vt:lpstr>
      <vt:lpstr>Demanda</vt:lpstr>
      <vt:lpstr>Eficiencia</vt:lpstr>
      <vt:lpstr>Eficiencia_hid</vt:lpstr>
      <vt:lpstr>P_max_conv</vt:lpstr>
      <vt:lpstr>P_max_eol</vt:lpstr>
      <vt:lpstr>P_max_hid</vt:lpstr>
      <vt:lpstr>P_max_sol</vt:lpstr>
      <vt:lpstr>PBESS_MW</vt:lpstr>
      <vt:lpstr>Reactancia</vt:lpstr>
      <vt:lpstr>Reserva_hid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Haro</dc:creator>
  <cp:lastModifiedBy>Gabriel Chavez</cp:lastModifiedBy>
  <dcterms:created xsi:type="dcterms:W3CDTF">2015-06-05T18:19:34Z</dcterms:created>
  <dcterms:modified xsi:type="dcterms:W3CDTF">2026-01-22T19:26:49Z</dcterms:modified>
</cp:coreProperties>
</file>